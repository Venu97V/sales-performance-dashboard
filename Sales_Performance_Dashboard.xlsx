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AEBB4CB8-7A01-4EC1-95DA-A394381F0292}" xr6:coauthVersionLast="47" xr6:coauthVersionMax="47" xr10:uidLastSave="{00000000-0000-0000-0000-000000000000}"/>
  <bookViews>
    <workbookView xWindow="-108" yWindow="-108" windowWidth="23256" windowHeight="12456" xr2:uid="{00000000-000D-0000-FFFF-FFFF00000000}"/>
  </bookViews>
  <sheets>
    <sheet name="Dashboard" sheetId="8" r:id="rId1"/>
    <sheet name="Row data" sheetId="1" r:id="rId2"/>
  </sheets>
  <definedNames>
    <definedName name="_xlnm._FilterDatabase" localSheetId="1" hidden="1">'Row data'!$A$1:$P$141</definedName>
    <definedName name="Slicer_City1">#N/A</definedName>
    <definedName name="Slicer_Month">#N/A</definedName>
    <definedName name="Slicer_Stat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<sst xmlns="http://schemas.openxmlformats.org/spreadsheetml/2006/main" count="1284" uniqueCount="235">
  <si>
    <t>Order ID</t>
  </si>
  <si>
    <t>Order Date</t>
  </si>
  <si>
    <t>Month</t>
  </si>
  <si>
    <t>Region</t>
  </si>
  <si>
    <t>State</t>
  </si>
  <si>
    <t>City</t>
  </si>
  <si>
    <t>Salesperson</t>
  </si>
  <si>
    <t>Product Category</t>
  </si>
  <si>
    <t>Product</t>
  </si>
  <si>
    <t>Units Sold</t>
  </si>
  <si>
    <t>Unit Price</t>
  </si>
  <si>
    <t>Discount %</t>
  </si>
  <si>
    <t>Sales Amount</t>
  </si>
  <si>
    <t>Target</t>
  </si>
  <si>
    <t>Target Achievement %</t>
  </si>
  <si>
    <t>Customer Type</t>
  </si>
  <si>
    <t>ORD001</t>
  </si>
  <si>
    <t>June</t>
  </si>
  <si>
    <t>South</t>
  </si>
  <si>
    <t>Karnataka</t>
  </si>
  <si>
    <t>Bengaluru</t>
  </si>
  <si>
    <t>Kiran Reddy</t>
  </si>
  <si>
    <t>Furniture</t>
  </si>
  <si>
    <t>Office Chair</t>
  </si>
  <si>
    <t>Wholesale</t>
  </si>
  <si>
    <t>ORD002</t>
  </si>
  <si>
    <t>May</t>
  </si>
  <si>
    <t>Telangana</t>
  </si>
  <si>
    <t>Hyderabad</t>
  </si>
  <si>
    <t>Sneha Nair</t>
  </si>
  <si>
    <t>Electronics</t>
  </si>
  <si>
    <t>Laptop</t>
  </si>
  <si>
    <t>ORD003</t>
  </si>
  <si>
    <t>Ananya Rao</t>
  </si>
  <si>
    <t>Accessories</t>
  </si>
  <si>
    <t>Headphones</t>
  </si>
  <si>
    <t>Corporate</t>
  </si>
  <si>
    <t>ORD004</t>
  </si>
  <si>
    <t>July</t>
  </si>
  <si>
    <t>Storage Cabinet</t>
  </si>
  <si>
    <t>ORD005</t>
  </si>
  <si>
    <t>Monitor</t>
  </si>
  <si>
    <t>Retail</t>
  </si>
  <si>
    <t>ORD006</t>
  </si>
  <si>
    <t>East</t>
  </si>
  <si>
    <t>Bihar</t>
  </si>
  <si>
    <t>Patna</t>
  </si>
  <si>
    <t>Suman Das</t>
  </si>
  <si>
    <t>Office Supplies</t>
  </si>
  <si>
    <t>Notebook Pack</t>
  </si>
  <si>
    <t>ORD007</t>
  </si>
  <si>
    <t>January</t>
  </si>
  <si>
    <t>North</t>
  </si>
  <si>
    <t>Uttar Pradesh</t>
  </si>
  <si>
    <t>Lucknow</t>
  </si>
  <si>
    <t>Priya Singh</t>
  </si>
  <si>
    <t>ORD008</t>
  </si>
  <si>
    <t>April</t>
  </si>
  <si>
    <t>Tamil Nadu</t>
  </si>
  <si>
    <t>Chennai</t>
  </si>
  <si>
    <t>Printer Paper Box</t>
  </si>
  <si>
    <t>ORD009</t>
  </si>
  <si>
    <t>March</t>
  </si>
  <si>
    <t>West</t>
  </si>
  <si>
    <t>Rajasthan</t>
  </si>
  <si>
    <t>Jaipur</t>
  </si>
  <si>
    <t>Amit Shah</t>
  </si>
  <si>
    <t>Wireless Mouse</t>
  </si>
  <si>
    <t>ORD010</t>
  </si>
  <si>
    <t>August</t>
  </si>
  <si>
    <t>Odisha</t>
  </si>
  <si>
    <t>Bhubaneswar</t>
  </si>
  <si>
    <t>Anjali Bose</t>
  </si>
  <si>
    <t>Keyboard</t>
  </si>
  <si>
    <t>ORD011</t>
  </si>
  <si>
    <t>Delhi</t>
  </si>
  <si>
    <t>New Delhi</t>
  </si>
  <si>
    <t>Neha Sharma</t>
  </si>
  <si>
    <t>ORD012</t>
  </si>
  <si>
    <t>February</t>
  </si>
  <si>
    <t>Maharashtra</t>
  </si>
  <si>
    <t>Mumbai</t>
  </si>
  <si>
    <t>Riya Desai</t>
  </si>
  <si>
    <t>ORD013</t>
  </si>
  <si>
    <t>ORD014</t>
  </si>
  <si>
    <t>West Bengal</t>
  </si>
  <si>
    <t>Kolkata</t>
  </si>
  <si>
    <t>ORD015</t>
  </si>
  <si>
    <t>ORD016</t>
  </si>
  <si>
    <t>ORD017</t>
  </si>
  <si>
    <t>Stationery Kit</t>
  </si>
  <si>
    <t>ORD018</t>
  </si>
  <si>
    <t>Vikram Patel</t>
  </si>
  <si>
    <t>Printer</t>
  </si>
  <si>
    <t>ORD019</t>
  </si>
  <si>
    <t>ORD020</t>
  </si>
  <si>
    <t>Arjun Mehta</t>
  </si>
  <si>
    <t>ORD021</t>
  </si>
  <si>
    <t>Rohit Verma</t>
  </si>
  <si>
    <t>ORD022</t>
  </si>
  <si>
    <t>ORD023</t>
  </si>
  <si>
    <t>Deepak Kumar</t>
  </si>
  <si>
    <t>ORD024</t>
  </si>
  <si>
    <t>ORD025</t>
  </si>
  <si>
    <t>Office Desk</t>
  </si>
  <si>
    <t>ORD026</t>
  </si>
  <si>
    <t>ORD027</t>
  </si>
  <si>
    <t>ORD028</t>
  </si>
  <si>
    <t>ORD029</t>
  </si>
  <si>
    <t>ORD030</t>
  </si>
  <si>
    <t>ORD031</t>
  </si>
  <si>
    <t>Haryana</t>
  </si>
  <si>
    <t>Gurugram</t>
  </si>
  <si>
    <t>ORD032</t>
  </si>
  <si>
    <t>Rahul Roy</t>
  </si>
  <si>
    <t>ORD033</t>
  </si>
  <si>
    <t>ORD034</t>
  </si>
  <si>
    <t>ORD035</t>
  </si>
  <si>
    <t>ORD036</t>
  </si>
  <si>
    <t>Gujarat</t>
  </si>
  <si>
    <t>Ahmedabad</t>
  </si>
  <si>
    <t>ORD037</t>
  </si>
  <si>
    <t>Pooja Joshi</t>
  </si>
  <si>
    <t>ORD038</t>
  </si>
  <si>
    <t>ORD039</t>
  </si>
  <si>
    <t>ORD040</t>
  </si>
  <si>
    <t>ORD041</t>
  </si>
  <si>
    <t>ORD042</t>
  </si>
  <si>
    <t>ORD043</t>
  </si>
  <si>
    <t>ORD044</t>
  </si>
  <si>
    <t>Raj Kumar</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</si>
  <si>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</si>
  <si>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</si>
  <si>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</si>
  <si>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</si>
  <si>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</si>
  <si>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</si>
  <si>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</si>
  <si>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</si>
  <si>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</si>
  <si>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</si>
  <si>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</si>
  <si>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</si>
  <si>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</si>
  <si>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</si>
  <si>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</si>
  <si>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</si>
  <si>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</si>
  <si>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</si>
  <si>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</si>
  <si>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</si>
  <si>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</si>
  <si>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</si>
  <si>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</si>
  <si>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</si>
  <si>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</si>
  <si>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</si>
  <si>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</si>
  <si>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</si>
  <si>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</si>
  <si>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</si>
  <si>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</si>
  <si>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</si>
  <si>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</si>
  <si>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</si>
  <si>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</si>
  <si>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</si>
  <si>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</si>
  <si>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</si>
  <si>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</si>
  <si>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</si>
  <si>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</si>
  <si>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</si>
  <si>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</si>
  <si>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</si>
  <si>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</si>
  <si>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</si>
  <si>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</si>
  <si>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</si>
  <si>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</si>
  <si>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</si>
  <si>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</si>
  <si>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</si>
  <si>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</si>
  <si>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</si>
  <si>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</si>
  <si>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</si>
  <si>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</si>
  <si>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</si>
  <si>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</si>
  <si>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</si>
  <si>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</si>
  <si>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</si>
  <si>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</si>
  <si>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</si>
  <si>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</si>
  <si>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</si>
  <si>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</si>
  <si>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</si>
  <si>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</si>
  <si>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</si>
  <si>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</si>
  <si>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</si>
  <si>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</si>
  <si>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</si>
  <si>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</si>
  <si>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</si>
  <si>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</si>
  <si>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</si>
  <si>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</si>
  <si>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</si>
  <si>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</si>
  <si>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</si>
  <si>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</si>
  <si>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</si>
  <si>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</si>
  <si>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</si>
  <si>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</si>
  <si>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</si>
  <si>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</si>
  <si>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</si>
  <si>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</si>
  <si>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</si>
  <si>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</si>
  <si>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</si>
  <si>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</si>
  <si>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</si>
  <si>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SALES PERFORMANCE DASHBOARD</t>
  </si>
  <si>
    <t>Sales by Product Category</t>
  </si>
  <si>
    <t>Executive  Sales Analytics</t>
  </si>
  <si>
    <t xml:space="preserve">          Monthly Sales Trend</t>
  </si>
  <si>
    <t xml:space="preserve">Regional Sales Performance </t>
  </si>
  <si>
    <t xml:space="preserve">  Top 5 Salespersons by Sales  </t>
  </si>
  <si>
    <t/>
  </si>
  <si>
    <t>Target Achievement  by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</si>
</sst>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 #,##0.00;[Red]&quot;₹&quot;\ \-#,##0.00"/>
    <numFmt numFmtId="164" formatCode="dd\-mmm\-yyyy"/>
    <numFmt numFmtId="165" formatCode="\₹#,##0.00"/>
    <numFmt numFmtId="166" formatCode="&quot;₹&quot;\ #,##0.00"/>
  </numFmts>
  <fonts count="7" x14ac:knownFonts="1">
    <font>
      <sz val="11"/>
      <color theme="1"/>
      <name val="Calibri"/>
      <family val="2"/>
      <scheme val="minor"/>
    </font>
    <font>
      <b/>
      <sz val="11"/>
      <name val="Calibri"/>
    </font>
    <font>
      <b/>
      <sz val="16"/>
      <color theme="1"/>
      <name val="Cambria"/>
      <family val="1"/>
      <scheme val="major"/>
    </font>
    <font>
      <b/>
      <sz val="16"/>
      <color rgb="FFDCE8ED"/>
      <name val="Cambria"/>
      <family val="1"/>
      <scheme val="major"/>
    </font>
    <font>
      <b/>
      <sz val="14"/>
      <color rgb="FFDCE8ED"/>
      <name val="Cambria"/>
      <family val="1"/>
      <scheme val="major"/>
    </font>
    <font>
      <b/>
      <sz val="20"/>
      <color theme="1"/>
      <name val="Cambria"/>
      <family val="1"/>
      <scheme val="major"/>
    </font>
    <font>
      <b/>
      <sz val="14"/>
      <color rgb="FFFFFFFF"/>
      <name val="Calibri"/>
      <family val="2"/>
      <scheme val="minor"/>
    </font>
  </fonts>
  <fills count="5">
    <fill>
      <patternFill patternType="none"/>
    </fill>
    <fill>
      <patternFill patternType="gray125"/>
    </fill>
    <fill>
      <patternFill patternType="solid">
        <fgColor theme="0"/>
        <bgColor indexed="64"/>
      </patternFill>
    </fill>
    <fill>
      <patternFill patternType="solid">
        <fgColor rgb="FF12344D"/>
        <bgColor indexed="64"/>
      </patternFill>
    </fill>
    <fill>
      <patternFill patternType="solid">
        <fgColor rgb="FFF4F7F9"/>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165" fontId="0" fillId="0" borderId="0" xfId="0" applyNumberFormat="1"/>
    <xf numFmtId="10" fontId="0" fillId="0" borderId="0" xfId="0" applyNumberFormat="1"/>
    <xf numFmtId="0" fontId="1" fillId="0" borderId="1" xfId="0" applyFont="1" applyBorder="1" applyAlignment="1">
      <alignment horizontal="center" vertical="top"/>
    </xf>
    <xf numFmtId="0" fontId="0" fillId="2" borderId="0" xfId="0" applyFill="1"/>
    <xf numFmtId="0" fontId="0" fillId="3" borderId="0" xfId="0" applyFill="1"/>
    <xf numFmtId="0" fontId="2" fillId="3" borderId="0" xfId="0" applyFont="1" applyFill="1"/>
    <xf numFmtId="0" fontId="3" fillId="3" borderId="0" xfId="0" applyFont="1" applyFill="1"/>
    <xf numFmtId="0" fontId="4" fillId="3" borderId="0" xfId="0" applyFont="1" applyFill="1"/>
    <xf numFmtId="0" fontId="0" fillId="4" borderId="0" xfId="0" applyFill="1"/>
    <xf numFmtId="0" fontId="5" fillId="4" borderId="0" xfId="0" applyFont="1" applyFill="1"/>
    <xf numFmtId="166" fontId="0" fillId="0" borderId="0" xfId="0" applyNumberFormat="1"/>
    <xf numFmtId="8" fontId="6" fillId="0" borderId="0" xfId="0" applyNumberFormat="1" applyFont="1"/>
    <xf numFmtId="0" fontId="0" fillId="3" borderId="0" xfId="0" quotePrefix="1" applyFill="1"/>
  </cellXfs>
  <cellStyles count="1">
    <cellStyle name="Normal" xfId="0" builtinId="0"/>
  </cellStyles>
  <dxfs count="14">
    <dxf>
      <numFmt numFmtId="14" formatCode="0.00%"/>
    </dxf>
    <dxf>
      <numFmt numFmtId="165" formatCode="\₹#,##0.00"/>
    </dxf>
    <dxf>
      <numFmt numFmtId="165" formatCode="\₹#,##0.00"/>
    </dxf>
    <dxf>
      <numFmt numFmtId="14" formatCode="0.00%"/>
    </dxf>
    <dxf>
      <numFmt numFmtId="165" formatCode="\₹#,##0.00"/>
    </dxf>
    <dxf>
      <numFmt numFmtId="164"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6" tint="0.3999450666829432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B0F0"/>
        </patternFill>
      </fill>
    </dxf>
  </dxfs>
  <tableStyles count="7" defaultTableStyle="TableStyleMedium9" defaultPivotStyle="PivotStyleLight16">
    <tableStyle name="Slicer Style 1" pivot="0" table="0" count="1" xr9:uid="{C57E6125-7F59-4211-8E65-753E13685A86}"/>
    <tableStyle name="Slicer Style 2" pivot="0" table="0" count="1" xr9:uid="{697FC89E-532E-4683-9439-338C8317214D}"/>
    <tableStyle name="Slicer Style 3" pivot="0" table="0" count="1" xr9:uid="{3AEE6929-9BF8-4ADB-AB11-6F92A5955B01}">
      <tableStyleElement type="headerRow" dxfId="13"/>
    </tableStyle>
    <tableStyle name="Slicer Style 4" pivot="0" table="0" count="1" xr9:uid="{5FF6EB17-7622-4158-81AF-D41BA73961FA}"/>
    <tableStyle name="Slicer Style 5" pivot="0" table="0" count="1" xr9:uid="{8A52D64F-E669-451F-AB8D-59F64CF1AEE1}"/>
    <tableStyle name="Timeline Style 1" pivot="0" table="0" count="8" xr9:uid="{08D77961-A19E-415C-8E42-8B50C8535EBA}">
      <tableStyleElement type="wholeTable" dxfId="12"/>
      <tableStyleElement type="headerRow" dxfId="11"/>
    </tableStyle>
    <tableStyle name="Timeline Style 2" pivot="0" table="0" count="8" xr9:uid="{4E0627A0-9E79-4766-BC41-99941D7579D3}">
      <tableStyleElement type="wholeTable" dxfId="10"/>
      <tableStyleElement type="headerRow" dxfId="9"/>
    </tableStyle>
  </tableStyles>
  <colors>
    <mruColors>
      <color rgb="FFF4F7F9"/>
      <color rgb="FFDCE8ED"/>
      <color rgb="FF12344D"/>
      <color rgb="FF173F5F"/>
      <color rgb="FF087E8B"/>
      <color rgb="FF2E7D5B"/>
      <color rgb="FF2E86AB"/>
      <color rgb="FF34495E"/>
      <color rgb="FF2C3E50"/>
      <color rgb="FF3235B8"/>
    </mruColors>
  </colors>
  <extLst>
    <ext xmlns:x14="http://schemas.microsoft.com/office/spreadsheetml/2009/9/main" uri="{46F421CA-312F-682f-3DD2-61675219B42D}">
      <x14:dxfs count="4">
        <dxf>
          <fill>
            <patternFill>
              <bgColor rgb="FFFFC000"/>
            </patternFill>
          </fill>
        </dxf>
        <dxf>
          <fill>
            <patternFill>
              <bgColor theme="6"/>
            </patternFill>
          </fill>
        </dxf>
        <dxf>
          <fill>
            <patternFill>
              <bgColor rgb="FFFFFF00"/>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Elements>
            <x14:slicerStyleElement type="selectedItemWithNoData" dxfId="2"/>
          </x14:slicerStyleElements>
        </x14:slicerStyle>
        <x14:slicerStyle name="Slicer Style 3"/>
        <x14:slicerStyle name="Slicer Style 4">
          <x14:slicerStyleElements>
            <x14:slicerStyleElement type="selectedItemWithData" dxfId="1"/>
          </x14:slicerStyleElements>
        </x14:slicerStyle>
        <x14:slicerStyle name="Slicer Style 5">
          <x14:slicerStyleElements>
            <x14:slicerStyleElement type="un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FFFF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1036204906017"/>
          <c:y val="6.6909975669099758E-2"/>
          <c:w val="0.79898645288778769"/>
          <c:h val="0.79198133992375042"/>
        </c:manualLayout>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January</c:v>
              </c:pt>
              <c:pt idx="1">
                <c:v>February</c:v>
              </c:pt>
              <c:pt idx="2">
                <c:v>March</c:v>
              </c:pt>
              <c:pt idx="3">
                <c:v>April</c:v>
              </c:pt>
              <c:pt idx="4">
                <c:v>May</c:v>
              </c:pt>
              <c:pt idx="5">
                <c:v>June</c:v>
              </c:pt>
              <c:pt idx="6">
                <c:v>July</c:v>
              </c:pt>
              <c:pt idx="7">
                <c:v>August</c:v>
              </c:pt>
            </c:strLit>
          </c:cat>
          <c:val>
            <c:numLit>
              <c:formatCode>General</c:formatCode>
              <c:ptCount val="8"/>
              <c:pt idx="0">
                <c:v>2209640</c:v>
              </c:pt>
              <c:pt idx="1">
                <c:v>1261125</c:v>
              </c:pt>
              <c:pt idx="2">
                <c:v>2445300</c:v>
              </c:pt>
              <c:pt idx="3">
                <c:v>1305195</c:v>
              </c:pt>
              <c:pt idx="4">
                <c:v>1721520</c:v>
              </c:pt>
              <c:pt idx="5">
                <c:v>2105380</c:v>
              </c:pt>
              <c:pt idx="6">
                <c:v>1691170</c:v>
              </c:pt>
              <c:pt idx="7">
                <c:v>1579965</c:v>
              </c:pt>
            </c:numLit>
          </c:val>
          <c:smooth val="0"/>
          <c:extLst>
            <c:ext xmlns:c16="http://schemas.microsoft.com/office/drawing/2014/chart" uri="{C3380CC4-5D6E-409C-BE32-E72D297353CC}">
              <c16:uniqueId val="{00000000-27E8-464A-B658-0A34274AB975}"/>
            </c:ext>
          </c:extLst>
        </c:ser>
        <c:dLbls>
          <c:showLegendKey val="0"/>
          <c:showVal val="0"/>
          <c:showCatName val="0"/>
          <c:showSerName val="0"/>
          <c:showPercent val="0"/>
          <c:showBubbleSize val="0"/>
        </c:dLbls>
        <c:marker val="1"/>
        <c:smooth val="0"/>
        <c:axId val="185002976"/>
        <c:axId val="38647024"/>
      </c:lineChart>
      <c:catAx>
        <c:axId val="185002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a:glow>
              <a:schemeClr val="accent1"/>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024"/>
        <c:crosses val="autoZero"/>
        <c:auto val="1"/>
        <c:lblAlgn val="ctr"/>
        <c:lblOffset val="100"/>
        <c:noMultiLvlLbl val="0"/>
      </c:catAx>
      <c:valAx>
        <c:axId val="3864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0.11985481444075721"/>
          <c:y val="0.14841826833298269"/>
          <c:w val="0.4123582593970691"/>
          <c:h val="0.827565601147857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21-4F84-B8AE-08E740507A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21-4F84-B8AE-08E740507A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21-4F84-B8AE-08E740507A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21-4F84-B8AE-08E740507A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Accessories</c:v>
              </c:pt>
              <c:pt idx="1">
                <c:v>Electronics</c:v>
              </c:pt>
              <c:pt idx="2">
                <c:v>Furniture</c:v>
              </c:pt>
              <c:pt idx="3">
                <c:v>Office Supplies</c:v>
              </c:pt>
            </c:strLit>
          </c:cat>
          <c:val>
            <c:numLit>
              <c:formatCode>General</c:formatCode>
              <c:ptCount val="4"/>
              <c:pt idx="0">
                <c:v>1675090</c:v>
              </c:pt>
              <c:pt idx="1">
                <c:v>8047450</c:v>
              </c:pt>
              <c:pt idx="2">
                <c:v>3576525</c:v>
              </c:pt>
              <c:pt idx="3">
                <c:v>1020230</c:v>
              </c:pt>
            </c:numLit>
          </c:val>
          <c:extLst>
            <c:ext xmlns:c16="http://schemas.microsoft.com/office/drawing/2014/chart" uri="{C3380CC4-5D6E-409C-BE32-E72D297353CC}">
              <c16:uniqueId val="{00000008-DD21-4F84-B8AE-08E740507AF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317524665852421"/>
          <c:y val="0.31907286611473112"/>
          <c:w val="0.22921199206534826"/>
          <c:h val="0.465240038470350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2920101609214"/>
          <c:y val="0.16424991681515749"/>
          <c:w val="0.68976079171599014"/>
          <c:h val="0.67156890416496762"/>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Amit Shah</c:v>
              </c:pt>
              <c:pt idx="1">
                <c:v>Pooja Joshi</c:v>
              </c:pt>
              <c:pt idx="2">
                <c:v>Riya Desai</c:v>
              </c:pt>
              <c:pt idx="3">
                <c:v>Vikram Patel</c:v>
              </c:pt>
            </c:strLit>
          </c:cat>
          <c:val>
            <c:numLit>
              <c:formatCode>General</c:formatCode>
              <c:ptCount val="4"/>
              <c:pt idx="0">
                <c:v>2.0345</c:v>
              </c:pt>
              <c:pt idx="1">
                <c:v>5.0240000000000009</c:v>
              </c:pt>
              <c:pt idx="2">
                <c:v>2.9217</c:v>
              </c:pt>
              <c:pt idx="3">
                <c:v>1.8622999999999998</c:v>
              </c:pt>
            </c:numLit>
          </c:val>
          <c:extLst>
            <c:ext xmlns:c16="http://schemas.microsoft.com/office/drawing/2014/chart" uri="{C3380CC4-5D6E-409C-BE32-E72D297353CC}">
              <c16:uniqueId val="{00000001-D8EB-4599-8FF2-1E5875845971}"/>
            </c:ext>
          </c:extLst>
        </c:ser>
        <c:dLbls>
          <c:showLegendKey val="0"/>
          <c:showVal val="0"/>
          <c:showCatName val="0"/>
          <c:showSerName val="0"/>
          <c:showPercent val="0"/>
          <c:showBubbleSize val="0"/>
        </c:dLbls>
        <c:gapWidth val="219"/>
        <c:overlap val="-27"/>
        <c:axId val="236803776"/>
        <c:axId val="38593744"/>
      </c:barChart>
      <c:catAx>
        <c:axId val="2368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3744"/>
        <c:crosses val="autoZero"/>
        <c:auto val="1"/>
        <c:lblAlgn val="ctr"/>
        <c:lblOffset val="100"/>
        <c:noMultiLvlLbl val="0"/>
      </c:catAx>
      <c:valAx>
        <c:axId val="3859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0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793185566568"/>
          <c:y val="6.9887272379944632E-2"/>
          <c:w val="0.81112593535406563"/>
          <c:h val="0.82928402494087294"/>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Arjun Mehta</c:v>
              </c:pt>
              <c:pt idx="1">
                <c:v>Pooja Joshi</c:v>
              </c:pt>
              <c:pt idx="2">
                <c:v>Rahul Roy</c:v>
              </c:pt>
              <c:pt idx="3">
                <c:v>Riya Desai</c:v>
              </c:pt>
              <c:pt idx="4">
                <c:v>Sneha Nair</c:v>
              </c:pt>
            </c:strLit>
          </c:cat>
          <c:val>
            <c:numLit>
              <c:formatCode>General</c:formatCode>
              <c:ptCount val="5"/>
              <c:pt idx="0">
                <c:v>1399750</c:v>
              </c:pt>
              <c:pt idx="1">
                <c:v>1395980</c:v>
              </c:pt>
              <c:pt idx="2">
                <c:v>1359690</c:v>
              </c:pt>
              <c:pt idx="3">
                <c:v>1631245</c:v>
              </c:pt>
              <c:pt idx="4">
                <c:v>1882475</c:v>
              </c:pt>
            </c:numLit>
          </c:val>
          <c:extLst>
            <c:ext xmlns:c16="http://schemas.microsoft.com/office/drawing/2014/chart" uri="{C3380CC4-5D6E-409C-BE32-E72D297353CC}">
              <c16:uniqueId val="{00000003-3711-45DB-A795-2FB71F9239E6}"/>
            </c:ext>
          </c:extLst>
        </c:ser>
        <c:dLbls>
          <c:showLegendKey val="0"/>
          <c:showVal val="0"/>
          <c:showCatName val="0"/>
          <c:showSerName val="0"/>
          <c:showPercent val="0"/>
          <c:showBubbleSize val="0"/>
        </c:dLbls>
        <c:gapWidth val="182"/>
        <c:axId val="184998336"/>
        <c:axId val="38642704"/>
      </c:barChart>
      <c:catAx>
        <c:axId val="1849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2704"/>
        <c:crosses val="autoZero"/>
        <c:auto val="1"/>
        <c:lblAlgn val="ctr"/>
        <c:lblOffset val="100"/>
        <c:noMultiLvlLbl val="0"/>
      </c:catAx>
      <c:valAx>
        <c:axId val="3864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3465330</c:v>
              </c:pt>
              <c:pt idx="1">
                <c:v>3309125</c:v>
              </c:pt>
              <c:pt idx="2">
                <c:v>3618540</c:v>
              </c:pt>
              <c:pt idx="3">
                <c:v>3926300</c:v>
              </c:pt>
            </c:numLit>
          </c:val>
          <c:extLst>
            <c:ext xmlns:c16="http://schemas.microsoft.com/office/drawing/2014/chart" uri="{C3380CC4-5D6E-409C-BE32-E72D297353CC}">
              <c16:uniqueId val="{00000000-8245-4354-8E61-502CBA943581}"/>
            </c:ext>
          </c:extLst>
        </c:ser>
        <c:dLbls>
          <c:dLblPos val="inEnd"/>
          <c:showLegendKey val="0"/>
          <c:showVal val="1"/>
          <c:showCatName val="0"/>
          <c:showSerName val="0"/>
          <c:showPercent val="0"/>
          <c:showBubbleSize val="0"/>
        </c:dLbls>
        <c:gapWidth val="115"/>
        <c:overlap val="-20"/>
        <c:axId val="138405776"/>
        <c:axId val="38615344"/>
      </c:barChart>
      <c:catAx>
        <c:axId val="138405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5344"/>
        <c:crosses val="autoZero"/>
        <c:auto val="1"/>
        <c:lblAlgn val="ctr"/>
        <c:lblOffset val="100"/>
        <c:noMultiLvlLbl val="0"/>
      </c:catAx>
      <c:valAx>
        <c:axId val="38615344"/>
        <c:scaling>
          <c:orientation val="minMax"/>
        </c:scaling>
        <c:delete val="1"/>
        <c:axPos val="b"/>
        <c:numFmt formatCode="General" sourceLinked="1"/>
        <c:majorTickMark val="none"/>
        <c:minorTickMark val="none"/>
        <c:tickLblPos val="nextTo"/>
        <c:crossAx val="13840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png"/><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448408</xdr:colOff>
      <xdr:row>6</xdr:row>
      <xdr:rowOff>181708</xdr:rowOff>
    </xdr:from>
    <xdr:to>
      <xdr:col>6</xdr:col>
      <xdr:colOff>280408</xdr:colOff>
      <xdr:row>10</xdr:row>
      <xdr:rowOff>151432</xdr:rowOff>
    </xdr:to>
    <xdr:sp macro="" textlink="">
      <xdr:nvSpPr>
        <xdr:cNvPr id="2" name="Rectangle: Rounded Corners 1">
          <a:extLst>
            <a:ext uri="{FF2B5EF4-FFF2-40B4-BE49-F238E27FC236}">
              <a16:creationId xmlns:a16="http://schemas.microsoft.com/office/drawing/2014/main" id="{34E5F9EF-DD04-4006-0A5F-019E24115078}"/>
            </a:ext>
          </a:extLst>
        </xdr:cNvPr>
        <xdr:cNvSpPr/>
      </xdr:nvSpPr>
      <xdr:spPr>
        <a:xfrm>
          <a:off x="1058008" y="1482970"/>
          <a:ext cx="2880000" cy="720000"/>
        </a:xfrm>
        <a:prstGeom prst="roundRect">
          <a:avLst/>
        </a:prstGeom>
        <a:solidFill>
          <a:srgbClr val="087E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541607</xdr:colOff>
      <xdr:row>6</xdr:row>
      <xdr:rowOff>181121</xdr:rowOff>
    </xdr:from>
    <xdr:to>
      <xdr:col>13</xdr:col>
      <xdr:colOff>373607</xdr:colOff>
      <xdr:row>10</xdr:row>
      <xdr:rowOff>150845</xdr:rowOff>
    </xdr:to>
    <xdr:sp macro="" textlink="">
      <xdr:nvSpPr>
        <xdr:cNvPr id="3" name="Rectangle: Rounded Corners 2">
          <a:extLst>
            <a:ext uri="{FF2B5EF4-FFF2-40B4-BE49-F238E27FC236}">
              <a16:creationId xmlns:a16="http://schemas.microsoft.com/office/drawing/2014/main" id="{09EBC36A-E954-7963-6DB5-41DD37954A34}"/>
            </a:ext>
          </a:extLst>
        </xdr:cNvPr>
        <xdr:cNvSpPr/>
      </xdr:nvSpPr>
      <xdr:spPr>
        <a:xfrm>
          <a:off x="5418407" y="1482383"/>
          <a:ext cx="2880000" cy="720000"/>
        </a:xfrm>
        <a:prstGeom prst="roundRect">
          <a:avLst/>
        </a:prstGeom>
        <a:solidFill>
          <a:srgbClr val="087E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403274</xdr:colOff>
      <xdr:row>7</xdr:row>
      <xdr:rowOff>1171</xdr:rowOff>
    </xdr:from>
    <xdr:to>
      <xdr:col>21</xdr:col>
      <xdr:colOff>235274</xdr:colOff>
      <xdr:row>10</xdr:row>
      <xdr:rowOff>158464</xdr:rowOff>
    </xdr:to>
    <xdr:sp macro="" textlink="">
      <xdr:nvSpPr>
        <xdr:cNvPr id="4" name="Rectangle: Rounded Corners 3">
          <a:extLst>
            <a:ext uri="{FF2B5EF4-FFF2-40B4-BE49-F238E27FC236}">
              <a16:creationId xmlns:a16="http://schemas.microsoft.com/office/drawing/2014/main" id="{279E026E-5F37-CF37-BDAB-0C7C811AED08}"/>
            </a:ext>
          </a:extLst>
        </xdr:cNvPr>
        <xdr:cNvSpPr/>
      </xdr:nvSpPr>
      <xdr:spPr>
        <a:xfrm>
          <a:off x="10156874" y="1490002"/>
          <a:ext cx="2880000" cy="720000"/>
        </a:xfrm>
        <a:prstGeom prst="roundRect">
          <a:avLst/>
        </a:prstGeom>
        <a:solidFill>
          <a:srgbClr val="087E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175847</xdr:colOff>
      <xdr:row>7</xdr:row>
      <xdr:rowOff>8792</xdr:rowOff>
    </xdr:from>
    <xdr:to>
      <xdr:col>29</xdr:col>
      <xdr:colOff>7847</xdr:colOff>
      <xdr:row>10</xdr:row>
      <xdr:rowOff>154362</xdr:rowOff>
    </xdr:to>
    <xdr:sp macro="" textlink="">
      <xdr:nvSpPr>
        <xdr:cNvPr id="5" name="Rectangle: Rounded Corners 4">
          <a:extLst>
            <a:ext uri="{FF2B5EF4-FFF2-40B4-BE49-F238E27FC236}">
              <a16:creationId xmlns:a16="http://schemas.microsoft.com/office/drawing/2014/main" id="{B6A6BCCF-A1FC-7D3C-864B-97B3C2584637}"/>
            </a:ext>
          </a:extLst>
        </xdr:cNvPr>
        <xdr:cNvSpPr/>
      </xdr:nvSpPr>
      <xdr:spPr>
        <a:xfrm>
          <a:off x="14946924" y="1459523"/>
          <a:ext cx="2909308" cy="673108"/>
        </a:xfrm>
        <a:prstGeom prst="roundRect">
          <a:avLst/>
        </a:prstGeom>
        <a:solidFill>
          <a:srgbClr val="087E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410894</xdr:colOff>
      <xdr:row>6</xdr:row>
      <xdr:rowOff>141263</xdr:rowOff>
    </xdr:from>
    <xdr:to>
      <xdr:col>36</xdr:col>
      <xdr:colOff>242894</xdr:colOff>
      <xdr:row>10</xdr:row>
      <xdr:rowOff>110987</xdr:rowOff>
    </xdr:to>
    <xdr:sp macro="" textlink="">
      <xdr:nvSpPr>
        <xdr:cNvPr id="6" name="Rectangle: Rounded Corners 5">
          <a:extLst>
            <a:ext uri="{FF2B5EF4-FFF2-40B4-BE49-F238E27FC236}">
              <a16:creationId xmlns:a16="http://schemas.microsoft.com/office/drawing/2014/main" id="{77A4941A-A787-B956-1535-EC52023565F8}"/>
            </a:ext>
          </a:extLst>
        </xdr:cNvPr>
        <xdr:cNvSpPr/>
      </xdr:nvSpPr>
      <xdr:spPr>
        <a:xfrm>
          <a:off x="19308494" y="1442525"/>
          <a:ext cx="2880000" cy="720000"/>
        </a:xfrm>
        <a:prstGeom prst="roundRect">
          <a:avLst/>
        </a:prstGeom>
        <a:solidFill>
          <a:srgbClr val="087E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367519</xdr:colOff>
      <xdr:row>7</xdr:row>
      <xdr:rowOff>1759</xdr:rowOff>
    </xdr:from>
    <xdr:to>
      <xdr:col>6</xdr:col>
      <xdr:colOff>38465</xdr:colOff>
      <xdr:row>9</xdr:row>
      <xdr:rowOff>20080</xdr:rowOff>
    </xdr:to>
    <xdr:pic>
      <xdr:nvPicPr>
        <xdr:cNvPr id="8" name="Picture 7">
          <a:extLst>
            <a:ext uri="{FF2B5EF4-FFF2-40B4-BE49-F238E27FC236}">
              <a16:creationId xmlns:a16="http://schemas.microsoft.com/office/drawing/2014/main" id="{C73564C5-9684-63B9-FB99-FFFFBF024296}"/>
            </a:ext>
          </a:extLst>
        </xdr:cNvPr>
        <xdr:cNvPicPr>
          <a:picLocks noChangeAspect="1"/>
        </xdr:cNvPicPr>
      </xdr:nvPicPr>
      <xdr:blipFill>
        <a:blip xmlns:r="http://schemas.openxmlformats.org/officeDocument/2006/relationships" r:embed="rId1"/>
        <a:stretch>
          <a:fillRect/>
        </a:stretch>
      </xdr:blipFill>
      <xdr:spPr>
        <a:xfrm>
          <a:off x="2196319" y="1490590"/>
          <a:ext cx="1499746" cy="393459"/>
        </a:xfrm>
        <a:prstGeom prst="rect">
          <a:avLst/>
        </a:prstGeom>
      </xdr:spPr>
    </xdr:pic>
    <xdr:clientData/>
  </xdr:twoCellAnchor>
  <xdr:twoCellAnchor editAs="oneCell">
    <xdr:from>
      <xdr:col>10</xdr:col>
      <xdr:colOff>283112</xdr:colOff>
      <xdr:row>6</xdr:row>
      <xdr:rowOff>152986</xdr:rowOff>
    </xdr:from>
    <xdr:to>
      <xdr:col>12</xdr:col>
      <xdr:colOff>411245</xdr:colOff>
      <xdr:row>8</xdr:row>
      <xdr:rowOff>171307</xdr:rowOff>
    </xdr:to>
    <xdr:pic>
      <xdr:nvPicPr>
        <xdr:cNvPr id="11" name="Picture 10">
          <a:extLst>
            <a:ext uri="{FF2B5EF4-FFF2-40B4-BE49-F238E27FC236}">
              <a16:creationId xmlns:a16="http://schemas.microsoft.com/office/drawing/2014/main" id="{9DEAF8F9-086A-3882-D2F9-BBDABD370055}"/>
            </a:ext>
          </a:extLst>
        </xdr:cNvPr>
        <xdr:cNvPicPr>
          <a:picLocks noChangeAspect="1"/>
        </xdr:cNvPicPr>
      </xdr:nvPicPr>
      <xdr:blipFill>
        <a:blip xmlns:r="http://schemas.openxmlformats.org/officeDocument/2006/relationships" r:embed="rId2"/>
        <a:stretch>
          <a:fillRect/>
        </a:stretch>
      </xdr:blipFill>
      <xdr:spPr>
        <a:xfrm>
          <a:off x="6379112" y="1454248"/>
          <a:ext cx="1347333" cy="393459"/>
        </a:xfrm>
        <a:prstGeom prst="rect">
          <a:avLst/>
        </a:prstGeom>
      </xdr:spPr>
    </xdr:pic>
    <xdr:clientData/>
  </xdr:twoCellAnchor>
  <xdr:twoCellAnchor editAs="oneCell">
    <xdr:from>
      <xdr:col>10</xdr:col>
      <xdr:colOff>582050</xdr:colOff>
      <xdr:row>8</xdr:row>
      <xdr:rowOff>179950</xdr:rowOff>
    </xdr:from>
    <xdr:to>
      <xdr:col>11</xdr:col>
      <xdr:colOff>502848</xdr:colOff>
      <xdr:row>11</xdr:row>
      <xdr:rowOff>10701</xdr:rowOff>
    </xdr:to>
    <xdr:pic>
      <xdr:nvPicPr>
        <xdr:cNvPr id="12" name="Picture 11">
          <a:extLst>
            <a:ext uri="{FF2B5EF4-FFF2-40B4-BE49-F238E27FC236}">
              <a16:creationId xmlns:a16="http://schemas.microsoft.com/office/drawing/2014/main" id="{DCCDD23E-3A26-8DDE-2A51-7A315416DC1C}"/>
            </a:ext>
          </a:extLst>
        </xdr:cNvPr>
        <xdr:cNvPicPr>
          <a:picLocks noChangeAspect="1"/>
        </xdr:cNvPicPr>
      </xdr:nvPicPr>
      <xdr:blipFill>
        <a:blip xmlns:r="http://schemas.openxmlformats.org/officeDocument/2006/relationships" r:embed="rId3"/>
        <a:stretch>
          <a:fillRect/>
        </a:stretch>
      </xdr:blipFill>
      <xdr:spPr>
        <a:xfrm>
          <a:off x="6678050" y="1856350"/>
          <a:ext cx="530398" cy="393459"/>
        </a:xfrm>
        <a:prstGeom prst="rect">
          <a:avLst/>
        </a:prstGeom>
      </xdr:spPr>
    </xdr:pic>
    <xdr:clientData/>
  </xdr:twoCellAnchor>
  <xdr:twoCellAnchor editAs="oneCell">
    <xdr:from>
      <xdr:col>18</xdr:col>
      <xdr:colOff>345831</xdr:colOff>
      <xdr:row>7</xdr:row>
      <xdr:rowOff>19930</xdr:rowOff>
    </xdr:from>
    <xdr:to>
      <xdr:col>20</xdr:col>
      <xdr:colOff>236199</xdr:colOff>
      <xdr:row>9</xdr:row>
      <xdr:rowOff>38251</xdr:rowOff>
    </xdr:to>
    <xdr:pic>
      <xdr:nvPicPr>
        <xdr:cNvPr id="13" name="Picture 12">
          <a:extLst>
            <a:ext uri="{FF2B5EF4-FFF2-40B4-BE49-F238E27FC236}">
              <a16:creationId xmlns:a16="http://schemas.microsoft.com/office/drawing/2014/main" id="{BFE11201-4530-32D2-9941-D6506E0E9534}"/>
            </a:ext>
          </a:extLst>
        </xdr:cNvPr>
        <xdr:cNvPicPr>
          <a:picLocks noChangeAspect="1"/>
        </xdr:cNvPicPr>
      </xdr:nvPicPr>
      <xdr:blipFill>
        <a:blip xmlns:r="http://schemas.openxmlformats.org/officeDocument/2006/relationships" r:embed="rId4"/>
        <a:stretch>
          <a:fillRect/>
        </a:stretch>
      </xdr:blipFill>
      <xdr:spPr>
        <a:xfrm>
          <a:off x="11318631" y="1508761"/>
          <a:ext cx="1109568" cy="393459"/>
        </a:xfrm>
        <a:prstGeom prst="rect">
          <a:avLst/>
        </a:prstGeom>
      </xdr:spPr>
    </xdr:pic>
    <xdr:clientData/>
  </xdr:twoCellAnchor>
  <xdr:twoCellAnchor editAs="oneCell">
    <xdr:from>
      <xdr:col>18</xdr:col>
      <xdr:colOff>491784</xdr:colOff>
      <xdr:row>9</xdr:row>
      <xdr:rowOff>8793</xdr:rowOff>
    </xdr:from>
    <xdr:to>
      <xdr:col>19</xdr:col>
      <xdr:colOff>510126</xdr:colOff>
      <xdr:row>11</xdr:row>
      <xdr:rowOff>27114</xdr:rowOff>
    </xdr:to>
    <xdr:pic>
      <xdr:nvPicPr>
        <xdr:cNvPr id="14" name="Picture 13">
          <a:extLst>
            <a:ext uri="{FF2B5EF4-FFF2-40B4-BE49-F238E27FC236}">
              <a16:creationId xmlns:a16="http://schemas.microsoft.com/office/drawing/2014/main" id="{756FFBE0-8F95-4F01-EE7F-04A6CBEF2BEF}"/>
            </a:ext>
          </a:extLst>
        </xdr:cNvPr>
        <xdr:cNvPicPr>
          <a:picLocks noChangeAspect="1"/>
        </xdr:cNvPicPr>
      </xdr:nvPicPr>
      <xdr:blipFill>
        <a:blip xmlns:r="http://schemas.openxmlformats.org/officeDocument/2006/relationships" r:embed="rId5"/>
        <a:stretch>
          <a:fillRect/>
        </a:stretch>
      </xdr:blipFill>
      <xdr:spPr>
        <a:xfrm>
          <a:off x="11570092" y="1811216"/>
          <a:ext cx="633803" cy="370013"/>
        </a:xfrm>
        <a:prstGeom prst="rect">
          <a:avLst/>
        </a:prstGeom>
      </xdr:spPr>
    </xdr:pic>
    <xdr:clientData/>
  </xdr:twoCellAnchor>
  <xdr:twoCellAnchor editAs="oneCell">
    <xdr:from>
      <xdr:col>25</xdr:col>
      <xdr:colOff>454855</xdr:colOff>
      <xdr:row>6</xdr:row>
      <xdr:rowOff>148297</xdr:rowOff>
    </xdr:from>
    <xdr:to>
      <xdr:col>28</xdr:col>
      <xdr:colOff>34353</xdr:colOff>
      <xdr:row>8</xdr:row>
      <xdr:rowOff>166618</xdr:rowOff>
    </xdr:to>
    <xdr:pic>
      <xdr:nvPicPr>
        <xdr:cNvPr id="15" name="Picture 14">
          <a:extLst>
            <a:ext uri="{FF2B5EF4-FFF2-40B4-BE49-F238E27FC236}">
              <a16:creationId xmlns:a16="http://schemas.microsoft.com/office/drawing/2014/main" id="{E735DFB4-334E-CF4D-F44B-E41B743090A8}"/>
            </a:ext>
          </a:extLst>
        </xdr:cNvPr>
        <xdr:cNvPicPr>
          <a:picLocks noChangeAspect="1"/>
        </xdr:cNvPicPr>
      </xdr:nvPicPr>
      <xdr:blipFill>
        <a:blip xmlns:r="http://schemas.openxmlformats.org/officeDocument/2006/relationships" r:embed="rId6"/>
        <a:stretch>
          <a:fillRect/>
        </a:stretch>
      </xdr:blipFill>
      <xdr:spPr>
        <a:xfrm>
          <a:off x="15694855" y="1449559"/>
          <a:ext cx="1408298" cy="393459"/>
        </a:xfrm>
        <a:prstGeom prst="rect">
          <a:avLst/>
        </a:prstGeom>
      </xdr:spPr>
    </xdr:pic>
    <xdr:clientData/>
  </xdr:twoCellAnchor>
  <xdr:twoCellAnchor editAs="oneCell">
    <xdr:from>
      <xdr:col>32</xdr:col>
      <xdr:colOff>366346</xdr:colOff>
      <xdr:row>6</xdr:row>
      <xdr:rowOff>129540</xdr:rowOff>
    </xdr:from>
    <xdr:to>
      <xdr:col>35</xdr:col>
      <xdr:colOff>549400</xdr:colOff>
      <xdr:row>8</xdr:row>
      <xdr:rowOff>147861</xdr:rowOff>
    </xdr:to>
    <xdr:pic>
      <xdr:nvPicPr>
        <xdr:cNvPr id="18" name="Picture 17">
          <a:extLst>
            <a:ext uri="{FF2B5EF4-FFF2-40B4-BE49-F238E27FC236}">
              <a16:creationId xmlns:a16="http://schemas.microsoft.com/office/drawing/2014/main" id="{5C1351B9-6229-FA62-1BC1-E2E216EAADEB}"/>
            </a:ext>
          </a:extLst>
        </xdr:cNvPr>
        <xdr:cNvPicPr>
          <a:picLocks noChangeAspect="1"/>
        </xdr:cNvPicPr>
      </xdr:nvPicPr>
      <xdr:blipFill>
        <a:blip xmlns:r="http://schemas.openxmlformats.org/officeDocument/2006/relationships" r:embed="rId7"/>
        <a:stretch>
          <a:fillRect/>
        </a:stretch>
      </xdr:blipFill>
      <xdr:spPr>
        <a:xfrm>
          <a:off x="19873546" y="1430802"/>
          <a:ext cx="2011854" cy="393459"/>
        </a:xfrm>
        <a:prstGeom prst="rect">
          <a:avLst/>
        </a:prstGeom>
      </xdr:spPr>
    </xdr:pic>
    <xdr:clientData/>
  </xdr:twoCellAnchor>
  <xdr:twoCellAnchor editAs="oneCell">
    <xdr:from>
      <xdr:col>33</xdr:col>
      <xdr:colOff>501161</xdr:colOff>
      <xdr:row>8</xdr:row>
      <xdr:rowOff>128954</xdr:rowOff>
    </xdr:from>
    <xdr:to>
      <xdr:col>34</xdr:col>
      <xdr:colOff>421959</xdr:colOff>
      <xdr:row>10</xdr:row>
      <xdr:rowOff>147276</xdr:rowOff>
    </xdr:to>
    <xdr:pic>
      <xdr:nvPicPr>
        <xdr:cNvPr id="19" name="Picture 18">
          <a:extLst>
            <a:ext uri="{FF2B5EF4-FFF2-40B4-BE49-F238E27FC236}">
              <a16:creationId xmlns:a16="http://schemas.microsoft.com/office/drawing/2014/main" id="{45FE8199-21D1-A644-1D76-5104F8AE5BCA}"/>
            </a:ext>
          </a:extLst>
        </xdr:cNvPr>
        <xdr:cNvPicPr>
          <a:picLocks noChangeAspect="1"/>
        </xdr:cNvPicPr>
      </xdr:nvPicPr>
      <xdr:blipFill>
        <a:blip xmlns:r="http://schemas.openxmlformats.org/officeDocument/2006/relationships" r:embed="rId8"/>
        <a:stretch>
          <a:fillRect/>
        </a:stretch>
      </xdr:blipFill>
      <xdr:spPr>
        <a:xfrm>
          <a:off x="20617961" y="1805354"/>
          <a:ext cx="530398" cy="393460"/>
        </a:xfrm>
        <a:prstGeom prst="rect">
          <a:avLst/>
        </a:prstGeom>
      </xdr:spPr>
    </xdr:pic>
    <xdr:clientData/>
  </xdr:twoCellAnchor>
  <xdr:twoCellAnchor editAs="oneCell">
    <xdr:from>
      <xdr:col>1</xdr:col>
      <xdr:colOff>593773</xdr:colOff>
      <xdr:row>7</xdr:row>
      <xdr:rowOff>139504</xdr:rowOff>
    </xdr:from>
    <xdr:to>
      <xdr:col>2</xdr:col>
      <xdr:colOff>574430</xdr:colOff>
      <xdr:row>10</xdr:row>
      <xdr:rowOff>43375</xdr:rowOff>
    </xdr:to>
    <xdr:pic>
      <xdr:nvPicPr>
        <xdr:cNvPr id="20" name="Picture 19" descr="sales Icon - Free PNG &amp; SVG 303640 - Noun Project">
          <a:extLst>
            <a:ext uri="{FF2B5EF4-FFF2-40B4-BE49-F238E27FC236}">
              <a16:creationId xmlns:a16="http://schemas.microsoft.com/office/drawing/2014/main" id="{39098D63-D003-468C-83AD-C93BCD0BDD9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03373" y="1628335"/>
          <a:ext cx="590257" cy="466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76200</xdr:colOff>
      <xdr:row>7</xdr:row>
      <xdr:rowOff>105507</xdr:rowOff>
    </xdr:from>
    <xdr:to>
      <xdr:col>10</xdr:col>
      <xdr:colOff>82062</xdr:colOff>
      <xdr:row>10</xdr:row>
      <xdr:rowOff>74441</xdr:rowOff>
    </xdr:to>
    <xdr:pic>
      <xdr:nvPicPr>
        <xdr:cNvPr id="21" name="Picture 20" descr="Sales Order Icon">
          <a:extLst>
            <a:ext uri="{FF2B5EF4-FFF2-40B4-BE49-F238E27FC236}">
              <a16:creationId xmlns:a16="http://schemas.microsoft.com/office/drawing/2014/main" id="{B5F220F2-C032-4122-8DE1-6C1DBC8B0C5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562600" y="1594338"/>
          <a:ext cx="615462" cy="531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577945</xdr:colOff>
      <xdr:row>7</xdr:row>
      <xdr:rowOff>164123</xdr:rowOff>
    </xdr:from>
    <xdr:to>
      <xdr:col>17</xdr:col>
      <xdr:colOff>586152</xdr:colOff>
      <xdr:row>10</xdr:row>
      <xdr:rowOff>120163</xdr:rowOff>
    </xdr:to>
    <xdr:pic>
      <xdr:nvPicPr>
        <xdr:cNvPr id="17" name="Picture 16" descr="Quantity Icons &amp; Symbols">
          <a:extLst>
            <a:ext uri="{FF2B5EF4-FFF2-40B4-BE49-F238E27FC236}">
              <a16:creationId xmlns:a16="http://schemas.microsoft.com/office/drawing/2014/main" id="{85572CF6-1870-4F8C-8BA9-26908DA6C4F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331545" y="1652954"/>
          <a:ext cx="617807" cy="518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337037</xdr:colOff>
      <xdr:row>7</xdr:row>
      <xdr:rowOff>97887</xdr:rowOff>
    </xdr:from>
    <xdr:to>
      <xdr:col>25</xdr:col>
      <xdr:colOff>445477</xdr:colOff>
      <xdr:row>10</xdr:row>
      <xdr:rowOff>173208</xdr:rowOff>
    </xdr:to>
    <xdr:pic>
      <xdr:nvPicPr>
        <xdr:cNvPr id="22" name="Picture 21" descr="Sales, revenue, finance, income, dollar, currency, graph icon ...">
          <a:extLst>
            <a:ext uri="{FF2B5EF4-FFF2-40B4-BE49-F238E27FC236}">
              <a16:creationId xmlns:a16="http://schemas.microsoft.com/office/drawing/2014/main" id="{5665F5EF-6F22-48E8-AFC0-B1B86983FF9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4967437" y="1586718"/>
          <a:ext cx="718040" cy="638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509075</xdr:colOff>
      <xdr:row>7</xdr:row>
      <xdr:rowOff>58908</xdr:rowOff>
    </xdr:from>
    <xdr:to>
      <xdr:col>32</xdr:col>
      <xdr:colOff>495301</xdr:colOff>
      <xdr:row>10</xdr:row>
      <xdr:rowOff>103749</xdr:rowOff>
    </xdr:to>
    <xdr:pic>
      <xdr:nvPicPr>
        <xdr:cNvPr id="24" name="Picture 23" descr="Achievement, goal, success, target icon - Download on Iconfinder">
          <a:extLst>
            <a:ext uri="{FF2B5EF4-FFF2-40B4-BE49-F238E27FC236}">
              <a16:creationId xmlns:a16="http://schemas.microsoft.com/office/drawing/2014/main" id="{52F53189-4AEB-484C-840B-59544E5EF4AA}"/>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406675" y="1547739"/>
          <a:ext cx="595826" cy="607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12289</xdr:colOff>
      <xdr:row>14</xdr:row>
      <xdr:rowOff>36869</xdr:rowOff>
    </xdr:from>
    <xdr:to>
      <xdr:col>11</xdr:col>
      <xdr:colOff>366345</xdr:colOff>
      <xdr:row>23</xdr:row>
      <xdr:rowOff>24580</xdr:rowOff>
    </xdr:to>
    <xdr:graphicFrame macro="">
      <xdr:nvGraphicFramePr>
        <xdr:cNvPr id="25" name="Chart 24">
          <a:extLst>
            <a:ext uri="{FF2B5EF4-FFF2-40B4-BE49-F238E27FC236}">
              <a16:creationId xmlns:a16="http://schemas.microsoft.com/office/drawing/2014/main" id="{16B17FAA-479D-405A-AE95-73E686FFD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454744</xdr:colOff>
      <xdr:row>14</xdr:row>
      <xdr:rowOff>98323</xdr:rowOff>
    </xdr:from>
    <xdr:to>
      <xdr:col>29</xdr:col>
      <xdr:colOff>553065</xdr:colOff>
      <xdr:row>23</xdr:row>
      <xdr:rowOff>1</xdr:rowOff>
    </xdr:to>
    <xdr:graphicFrame macro="">
      <xdr:nvGraphicFramePr>
        <xdr:cNvPr id="26" name="Chart 25">
          <a:extLst>
            <a:ext uri="{FF2B5EF4-FFF2-40B4-BE49-F238E27FC236}">
              <a16:creationId xmlns:a16="http://schemas.microsoft.com/office/drawing/2014/main" id="{312E5661-8C81-4813-A87A-90EB96E32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410307</xdr:colOff>
      <xdr:row>14</xdr:row>
      <xdr:rowOff>49161</xdr:rowOff>
    </xdr:from>
    <xdr:to>
      <xdr:col>22</xdr:col>
      <xdr:colOff>395654</xdr:colOff>
      <xdr:row>23</xdr:row>
      <xdr:rowOff>12290</xdr:rowOff>
    </xdr:to>
    <xdr:graphicFrame macro="">
      <xdr:nvGraphicFramePr>
        <xdr:cNvPr id="27" name="Chart 26">
          <a:extLst>
            <a:ext uri="{FF2B5EF4-FFF2-40B4-BE49-F238E27FC236}">
              <a16:creationId xmlns:a16="http://schemas.microsoft.com/office/drawing/2014/main" id="{4CD0093C-A7DF-4E99-AA58-ADE7DDA14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24579</xdr:colOff>
      <xdr:row>28</xdr:row>
      <xdr:rowOff>36872</xdr:rowOff>
    </xdr:from>
    <xdr:to>
      <xdr:col>12</xdr:col>
      <xdr:colOff>221224</xdr:colOff>
      <xdr:row>35</xdr:row>
      <xdr:rowOff>1351936</xdr:rowOff>
    </xdr:to>
    <xdr:graphicFrame macro="">
      <xdr:nvGraphicFramePr>
        <xdr:cNvPr id="31" name="Chart 30">
          <a:extLst>
            <a:ext uri="{FF2B5EF4-FFF2-40B4-BE49-F238E27FC236}">
              <a16:creationId xmlns:a16="http://schemas.microsoft.com/office/drawing/2014/main" id="{3D97F529-D7C6-49D3-97B7-C565602A2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28</xdr:col>
      <xdr:colOff>203452</xdr:colOff>
      <xdr:row>26</xdr:row>
      <xdr:rowOff>113862</xdr:rowOff>
    </xdr:from>
    <xdr:to>
      <xdr:col>32</xdr:col>
      <xdr:colOff>240322</xdr:colOff>
      <xdr:row>36</xdr:row>
      <xdr:rowOff>5907</xdr:rowOff>
    </xdr:to>
    <mc:AlternateContent xmlns:mc="http://schemas.openxmlformats.org/markup-compatibility/2006" xmlns:a14="http://schemas.microsoft.com/office/drawing/2010/main">
      <mc:Choice Requires="a14">
        <xdr:graphicFrame macro="">
          <xdr:nvGraphicFramePr>
            <xdr:cNvPr id="33" name="City 7">
              <a:extLst>
                <a:ext uri="{FF2B5EF4-FFF2-40B4-BE49-F238E27FC236}">
                  <a16:creationId xmlns:a16="http://schemas.microsoft.com/office/drawing/2014/main" id="{F8A5CB58-5C09-448A-A357-B7D21E9D8209}"/>
                </a:ext>
              </a:extLst>
            </xdr:cNvPr>
            <xdr:cNvGraphicFramePr/>
          </xdr:nvGraphicFramePr>
          <xdr:xfrm>
            <a:off x="0" y="0"/>
            <a:ext cx="0" cy="0"/>
          </xdr:xfrm>
          <a:graphic>
            <a:graphicData uri="http://schemas.microsoft.com/office/drawing/2010/slicer">
              <sle:slicer xmlns:sle="http://schemas.microsoft.com/office/drawing/2010/slicer" name="City 7"/>
            </a:graphicData>
          </a:graphic>
        </xdr:graphicFrame>
      </mc:Choice>
      <mc:Fallback xmlns="">
        <xdr:sp macro="" textlink="">
          <xdr:nvSpPr>
            <xdr:cNvPr id="0" name=""/>
            <xdr:cNvSpPr>
              <a:spLocks noTextEdit="1"/>
            </xdr:cNvSpPr>
          </xdr:nvSpPr>
          <xdr:spPr>
            <a:xfrm>
              <a:off x="17272252" y="5869893"/>
              <a:ext cx="2475270" cy="2506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258097</xdr:colOff>
      <xdr:row>28</xdr:row>
      <xdr:rowOff>49160</xdr:rowOff>
    </xdr:from>
    <xdr:to>
      <xdr:col>26</xdr:col>
      <xdr:colOff>430161</xdr:colOff>
      <xdr:row>35</xdr:row>
      <xdr:rowOff>1351935</xdr:rowOff>
    </xdr:to>
    <xdr:graphicFrame macro="">
      <xdr:nvGraphicFramePr>
        <xdr:cNvPr id="34" name="Chart 33">
          <a:extLst>
            <a:ext uri="{FF2B5EF4-FFF2-40B4-BE49-F238E27FC236}">
              <a16:creationId xmlns:a16="http://schemas.microsoft.com/office/drawing/2014/main" id="{E0565FF3-72EF-4159-9D45-BE0B1AF0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33</xdr:col>
      <xdr:colOff>86033</xdr:colOff>
      <xdr:row>14</xdr:row>
      <xdr:rowOff>110613</xdr:rowOff>
    </xdr:from>
    <xdr:to>
      <xdr:col>36</xdr:col>
      <xdr:colOff>382678</xdr:colOff>
      <xdr:row>29</xdr:row>
      <xdr:rowOff>157656</xdr:rowOff>
    </xdr:to>
    <mc:AlternateContent xmlns:mc="http://schemas.openxmlformats.org/markup-compatibility/2006" xmlns:a14="http://schemas.microsoft.com/office/drawing/2010/main">
      <mc:Choice Requires="a14">
        <xdr:graphicFrame macro="">
          <xdr:nvGraphicFramePr>
            <xdr:cNvPr id="35" name="State 3">
              <a:extLst>
                <a:ext uri="{FF2B5EF4-FFF2-40B4-BE49-F238E27FC236}">
                  <a16:creationId xmlns:a16="http://schemas.microsoft.com/office/drawing/2014/main" id="{D6B3DE88-EF93-4EAB-93A5-5C9A9D57803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20202833" y="2912428"/>
              <a:ext cx="2125445" cy="355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577645</xdr:colOff>
      <xdr:row>14</xdr:row>
      <xdr:rowOff>98320</xdr:rowOff>
    </xdr:from>
    <xdr:to>
      <xdr:col>32</xdr:col>
      <xdr:colOff>589936</xdr:colOff>
      <xdr:row>24</xdr:row>
      <xdr:rowOff>96345</xdr:rowOff>
    </xdr:to>
    <mc:AlternateContent xmlns:mc="http://schemas.openxmlformats.org/markup-compatibility/2006" xmlns:a14="http://schemas.microsoft.com/office/drawing/2010/main">
      <mc:Choice Requires="a14">
        <xdr:graphicFrame macro="">
          <xdr:nvGraphicFramePr>
            <xdr:cNvPr id="36" name="Month 3">
              <a:extLst>
                <a:ext uri="{FF2B5EF4-FFF2-40B4-BE49-F238E27FC236}">
                  <a16:creationId xmlns:a16="http://schemas.microsoft.com/office/drawing/2014/main" id="{91D37EFD-2917-40B9-9711-7F1E9FEB72B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256045" y="2900136"/>
              <a:ext cx="1841091" cy="2508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542194</xdr:colOff>
      <xdr:row>8</xdr:row>
      <xdr:rowOff>155330</xdr:rowOff>
    </xdr:from>
    <xdr:to>
      <xdr:col>27</xdr:col>
      <xdr:colOff>481803</xdr:colOff>
      <xdr:row>11</xdr:row>
      <xdr:rowOff>11873</xdr:rowOff>
    </xdr:to>
    <xdr:pic>
      <xdr:nvPicPr>
        <xdr:cNvPr id="10" name="Picture 9">
          <a:extLst>
            <a:ext uri="{FF2B5EF4-FFF2-40B4-BE49-F238E27FC236}">
              <a16:creationId xmlns:a16="http://schemas.microsoft.com/office/drawing/2014/main" id="{DD759A62-FDB4-FEDF-A9B3-1D65731D76CD}"/>
            </a:ext>
          </a:extLst>
        </xdr:cNvPr>
        <xdr:cNvPicPr>
          <a:picLocks noChangeAspect="1"/>
        </xdr:cNvPicPr>
      </xdr:nvPicPr>
      <xdr:blipFill>
        <a:blip xmlns:r="http://schemas.openxmlformats.org/officeDocument/2006/relationships" r:embed="rId19"/>
        <a:stretch>
          <a:fillRect/>
        </a:stretch>
      </xdr:blipFill>
      <xdr:spPr>
        <a:xfrm>
          <a:off x="15928732" y="1781907"/>
          <a:ext cx="1170533" cy="384081"/>
        </a:xfrm>
        <a:prstGeom prst="rect">
          <a:avLst/>
        </a:prstGeom>
      </xdr:spPr>
    </xdr:pic>
    <xdr:clientData/>
  </xdr:twoCellAnchor>
  <xdr:twoCellAnchor editAs="oneCell">
    <xdr:from>
      <xdr:col>3</xdr:col>
      <xdr:colOff>342900</xdr:colOff>
      <xdr:row>9</xdr:row>
      <xdr:rowOff>17585</xdr:rowOff>
    </xdr:from>
    <xdr:to>
      <xdr:col>5</xdr:col>
      <xdr:colOff>294233</xdr:colOff>
      <xdr:row>11</xdr:row>
      <xdr:rowOff>26527</xdr:rowOff>
    </xdr:to>
    <xdr:pic>
      <xdr:nvPicPr>
        <xdr:cNvPr id="23" name="Picture 22">
          <a:extLst>
            <a:ext uri="{FF2B5EF4-FFF2-40B4-BE49-F238E27FC236}">
              <a16:creationId xmlns:a16="http://schemas.microsoft.com/office/drawing/2014/main" id="{0DAC5628-1D4B-2660-6D90-A18ACE291AB4}"/>
            </a:ext>
          </a:extLst>
        </xdr:cNvPr>
        <xdr:cNvPicPr>
          <a:picLocks noChangeAspect="1"/>
        </xdr:cNvPicPr>
      </xdr:nvPicPr>
      <xdr:blipFill>
        <a:blip xmlns:r="http://schemas.openxmlformats.org/officeDocument/2006/relationships" r:embed="rId20"/>
        <a:stretch>
          <a:fillRect/>
        </a:stretch>
      </xdr:blipFill>
      <xdr:spPr>
        <a:xfrm>
          <a:off x="2171700" y="1881554"/>
          <a:ext cx="1170533" cy="3840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6.910739120372" createdVersion="8" refreshedVersion="8" minRefreshableVersion="3" recordCount="140" xr:uid="{392F0589-E448-447F-B4BA-9A0194F17F48}">
  <cacheSource type="worksheet">
    <worksheetSource name="salesdata"/>
  </cacheSource>
  <cacheFields count="16">
    <cacheField name="Order ID" numFmtId="0">
      <sharedItems/>
    </cacheField>
    <cacheField name="Order Date" numFmtId="164">
      <sharedItems containsSemiMixedTypes="0" containsNonDate="0" containsDate="1" containsString="0" minDate="2026-01-05T00:00:00" maxDate="2026-08-31T00:00:00" count="107">
        <d v="2026-06-23T00:00:00"/>
        <d v="2026-05-10T00:00:00"/>
        <d v="2026-05-31T00:00:00"/>
        <d v="2026-07-15T00:00:00"/>
        <d v="2026-07-26T00:00:00"/>
        <d v="2026-06-08T00:00:00"/>
        <d v="2026-01-21T00:00:00"/>
        <d v="2026-04-01T00:00:00"/>
        <d v="2026-03-04T00:00:00"/>
        <d v="2026-08-04T00:00:00"/>
        <d v="2026-08-30T00:00:00"/>
        <d v="2026-02-05T00:00:00"/>
        <d v="2026-04-19T00:00:00"/>
        <d v="2026-08-09T00:00:00"/>
        <d v="2026-02-10T00:00:00"/>
        <d v="2026-01-28T00:00:00"/>
        <d v="2026-07-19T00:00:00"/>
        <d v="2026-08-13T00:00:00"/>
        <d v="2026-07-28T00:00:00"/>
        <d v="2026-06-05T00:00:00"/>
        <d v="2026-06-16T00:00:00"/>
        <d v="2026-01-06T00:00:00"/>
        <d v="2026-08-20T00:00:00"/>
        <d v="2026-02-03T00:00:00"/>
        <d v="2026-04-21T00:00:00"/>
        <d v="2026-07-06T00:00:00"/>
        <d v="2026-02-16T00:00:00"/>
        <d v="2026-05-19T00:00:00"/>
        <d v="2026-04-13T00:00:00"/>
        <d v="2026-06-28T00:00:00"/>
        <d v="2026-05-11T00:00:00"/>
        <d v="2026-08-16T00:00:00"/>
        <d v="2026-05-25T00:00:00"/>
        <d v="2026-04-12T00:00:00"/>
        <d v="2026-08-14T00:00:00"/>
        <d v="2026-06-12T00:00:00"/>
        <d v="2026-01-12T00:00:00"/>
        <d v="2026-04-20T00:00:00"/>
        <d v="2026-05-30T00:00:00"/>
        <d v="2026-07-23T00:00:00"/>
        <d v="2026-08-15T00:00:00"/>
        <d v="2026-08-25T00:00:00"/>
        <d v="2026-01-10T00:00:00"/>
        <d v="2026-06-18T00:00:00"/>
        <d v="2026-06-02T00:00:00"/>
        <d v="2026-05-28T00:00:00"/>
        <d v="2026-01-18T00:00:00"/>
        <d v="2026-06-20T00:00:00"/>
        <d v="2026-08-29T00:00:00"/>
        <d v="2026-02-23T00:00:00"/>
        <d v="2026-07-12T00:00:00"/>
        <d v="2026-05-02T00:00:00"/>
        <d v="2026-04-09T00:00:00"/>
        <d v="2026-03-05T00:00:00"/>
        <d v="2026-08-17T00:00:00"/>
        <d v="2026-07-02T00:00:00"/>
        <d v="2026-03-01T00:00:00"/>
        <d v="2026-04-30T00:00:00"/>
        <d v="2026-08-02T00:00:00"/>
        <d v="2026-03-28T00:00:00"/>
        <d v="2026-06-01T00:00:00"/>
        <d v="2026-03-08T00:00:00"/>
        <d v="2026-08-01T00:00:00"/>
        <d v="2026-03-31T00:00:00"/>
        <d v="2026-06-09T00:00:00"/>
        <d v="2026-03-07T00:00:00"/>
        <d v="2026-08-26T00:00:00"/>
        <d v="2026-07-17T00:00:00"/>
        <d v="2026-08-24T00:00:00"/>
        <d v="2026-05-07T00:00:00"/>
        <d v="2026-04-15T00:00:00"/>
        <d v="2026-01-05T00:00:00"/>
        <d v="2026-04-05T00:00:00"/>
        <d v="2026-03-06T00:00:00"/>
        <d v="2026-07-09T00:00:00"/>
        <d v="2026-04-03T00:00:00"/>
        <d v="2026-03-29T00:00:00"/>
        <d v="2026-01-19T00:00:00"/>
        <d v="2026-01-31T00:00:00"/>
        <d v="2026-03-18T00:00:00"/>
        <d v="2026-03-14T00:00:00"/>
        <d v="2026-05-20T00:00:00"/>
        <d v="2026-06-04T00:00:00"/>
        <d v="2026-06-22T00:00:00"/>
        <d v="2026-03-24T00:00:00"/>
        <d v="2026-04-23T00:00:00"/>
        <d v="2026-03-21T00:00:00"/>
        <d v="2026-05-04T00:00:00"/>
        <d v="2026-03-12T00:00:00"/>
        <d v="2026-05-29T00:00:00"/>
        <d v="2026-06-19T00:00:00"/>
        <d v="2026-08-12T00:00:00"/>
        <d v="2026-06-17T00:00:00"/>
        <d v="2026-08-07T00:00:00"/>
        <d v="2026-06-25T00:00:00"/>
        <d v="2026-06-27T00:00:00"/>
        <d v="2026-02-07T00:00:00"/>
        <d v="2026-04-08T00:00:00"/>
        <d v="2026-03-17T00:00:00"/>
        <d v="2026-07-10T00:00:00"/>
        <d v="2026-02-14T00:00:00"/>
        <d v="2026-02-27T00:00:00"/>
        <d v="2026-05-18T00:00:00"/>
        <d v="2026-04-29T00:00:00"/>
        <d v="2026-03-19T00:00:00"/>
        <d v="2026-06-21T00:00:00"/>
        <d v="2026-06-07T00:00:00"/>
      </sharedItems>
    </cacheField>
    <cacheField name="Month" numFmtId="0">
      <sharedItems count="8">
        <s v="June"/>
        <s v="May"/>
        <s v="July"/>
        <s v="January"/>
        <s v="April"/>
        <s v="March"/>
        <s v="August"/>
        <s v="February"/>
      </sharedItems>
    </cacheField>
    <cacheField name="Region" numFmtId="0">
      <sharedItems count="4">
        <s v="South"/>
        <s v="East"/>
        <s v="North"/>
        <s v="West"/>
      </sharedItems>
    </cacheField>
    <cacheField name="State" numFmtId="0">
      <sharedItems count="12">
        <s v="Karnataka"/>
        <s v="Telangana"/>
        <s v="Bihar"/>
        <s v="Uttar Pradesh"/>
        <s v="Tamil Nadu"/>
        <s v="Rajasthan"/>
        <s v="Odisha"/>
        <s v="Delhi"/>
        <s v="Maharashtra"/>
        <s v="West Bengal"/>
        <s v="Haryana"/>
        <s v="Gujarat"/>
      </sharedItems>
    </cacheField>
    <cacheField name="City" numFmtId="0">
      <sharedItems count="12">
        <s v="Bengaluru"/>
        <s v="Hyderabad"/>
        <s v="Patna"/>
        <s v="Lucknow"/>
        <s v="Chennai"/>
        <s v="Jaipur"/>
        <s v="Bhubaneswar"/>
        <s v="New Delhi"/>
        <s v="Mumbai"/>
        <s v="Kolkata"/>
        <s v="Gurugram"/>
        <s v="Ahmedabad"/>
      </sharedItems>
    </cacheField>
    <cacheField name="Salesperson" numFmtId="0">
      <sharedItems count="16">
        <s v="Kiran Reddy"/>
        <s v="Sneha Nair"/>
        <s v="Ananya Rao"/>
        <s v="Suman Das"/>
        <s v="Priya Singh"/>
        <s v="Amit Shah"/>
        <s v="Anjali Bose"/>
        <s v="Neha Sharma"/>
        <s v="Riya Desai"/>
        <s v="Vikram Patel"/>
        <s v="Arjun Mehta"/>
        <s v="Rohit Verma"/>
        <s v="Deepak Kumar"/>
        <s v="Rahul Roy"/>
        <s v="Pooja Joshi"/>
        <s v="Raj Kumar"/>
      </sharedItems>
    </cacheField>
    <cacheField name="Product Category" numFmtId="0">
      <sharedItems count="4">
        <s v="Furniture"/>
        <s v="Electronics"/>
        <s v="Accessories"/>
        <s v="Office Supplies"/>
      </sharedItems>
    </cacheField>
    <cacheField name="Product" numFmtId="0">
      <sharedItems/>
    </cacheField>
    <cacheField name="Units Sold" numFmtId="0">
      <sharedItems containsSemiMixedTypes="0" containsString="0" containsNumber="1" containsInteger="1" minValue="2" maxValue="30"/>
    </cacheField>
    <cacheField name="Unit Price" numFmtId="165">
      <sharedItems containsSemiMixedTypes="0" containsString="0" containsNumber="1" containsInteger="1" minValue="1200" maxValue="55000"/>
    </cacheField>
    <cacheField name="Discount %" numFmtId="10">
      <sharedItems containsSemiMixedTypes="0" containsString="0" containsNumber="1" minValue="0" maxValue="0.1"/>
    </cacheField>
    <cacheField name="Sales Amount" numFmtId="165">
      <sharedItems containsSemiMixedTypes="0" containsString="0" containsNumber="1" containsInteger="1" minValue="7200" maxValue="715000"/>
    </cacheField>
    <cacheField name="Target" numFmtId="165">
      <sharedItems containsSemiMixedTypes="0" containsString="0" containsNumber="1" minValue="7426.47" maxValue="857976.93"/>
    </cacheField>
    <cacheField name="Target Achievement %" numFmtId="10">
      <sharedItems containsSemiMixedTypes="0" containsString="0" containsNumber="1" minValue="0.83340000000000003" maxValue="1.1698"/>
    </cacheField>
    <cacheField name="Customer Type" numFmtId="0">
      <sharedItems/>
    </cacheField>
  </cacheFields>
  <extLst>
    <ext xmlns:x14="http://schemas.microsoft.com/office/spreadsheetml/2009/9/main" uri="{725AE2AE-9491-48be-B2B4-4EB974FC3084}">
      <x14:pivotCacheDefinition pivotCacheId="1711450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s v="ORD001"/>
    <x v="0"/>
    <x v="0"/>
    <x v="0"/>
    <x v="0"/>
    <x v="0"/>
    <x v="0"/>
    <x v="0"/>
    <s v="Office Chair"/>
    <n v="12"/>
    <n v="8500"/>
    <n v="0"/>
    <n v="102000"/>
    <n v="112992.02"/>
    <n v="0.90269999999999995"/>
    <s v="Wholesale"/>
  </r>
  <r>
    <s v="ORD002"/>
    <x v="1"/>
    <x v="1"/>
    <x v="0"/>
    <x v="1"/>
    <x v="1"/>
    <x v="1"/>
    <x v="1"/>
    <s v="Laptop"/>
    <n v="2"/>
    <n v="55000"/>
    <n v="0"/>
    <n v="110000"/>
    <n v="101917.56"/>
    <n v="1.0792999999999999"/>
    <s v="Wholesale"/>
  </r>
  <r>
    <s v="ORD003"/>
    <x v="2"/>
    <x v="1"/>
    <x v="0"/>
    <x v="1"/>
    <x v="1"/>
    <x v="2"/>
    <x v="2"/>
    <s v="Headphones"/>
    <n v="25"/>
    <n v="3500"/>
    <n v="0.1"/>
    <n v="78750"/>
    <n v="73013.39"/>
    <n v="1.0786"/>
    <s v="Corporate"/>
  </r>
  <r>
    <s v="ORD004"/>
    <x v="3"/>
    <x v="2"/>
    <x v="0"/>
    <x v="0"/>
    <x v="0"/>
    <x v="1"/>
    <x v="0"/>
    <s v="Storage Cabinet"/>
    <n v="6"/>
    <n v="14000"/>
    <n v="0"/>
    <n v="84000"/>
    <n v="77730.22"/>
    <n v="1.0807"/>
    <s v="Corporate"/>
  </r>
  <r>
    <s v="ORD005"/>
    <x v="4"/>
    <x v="2"/>
    <x v="0"/>
    <x v="0"/>
    <x v="0"/>
    <x v="1"/>
    <x v="1"/>
    <s v="Monitor"/>
    <n v="7"/>
    <n v="18000"/>
    <n v="0.05"/>
    <n v="119700"/>
    <n v="127038.1"/>
    <n v="0.94220000000000004"/>
    <s v="Retail"/>
  </r>
  <r>
    <s v="ORD006"/>
    <x v="5"/>
    <x v="0"/>
    <x v="1"/>
    <x v="2"/>
    <x v="2"/>
    <x v="3"/>
    <x v="3"/>
    <s v="Notebook Pack"/>
    <n v="7"/>
    <n v="1200"/>
    <n v="0.05"/>
    <n v="7980"/>
    <n v="9099.5300000000007"/>
    <n v="0.877"/>
    <s v="Corporate"/>
  </r>
  <r>
    <s v="ORD007"/>
    <x v="6"/>
    <x v="3"/>
    <x v="2"/>
    <x v="3"/>
    <x v="3"/>
    <x v="4"/>
    <x v="1"/>
    <s v="Laptop"/>
    <n v="12"/>
    <n v="55000"/>
    <n v="0"/>
    <n v="660000"/>
    <n v="739578.79"/>
    <n v="0.89239999999999997"/>
    <s v="Retail"/>
  </r>
  <r>
    <s v="ORD008"/>
    <x v="7"/>
    <x v="4"/>
    <x v="0"/>
    <x v="4"/>
    <x v="4"/>
    <x v="0"/>
    <x v="3"/>
    <s v="Printer Paper Box"/>
    <n v="25"/>
    <n v="2500"/>
    <n v="0.05"/>
    <n v="59375"/>
    <n v="53848.91"/>
    <n v="1.1026"/>
    <s v="Retail"/>
  </r>
  <r>
    <s v="ORD009"/>
    <x v="8"/>
    <x v="5"/>
    <x v="3"/>
    <x v="5"/>
    <x v="5"/>
    <x v="5"/>
    <x v="2"/>
    <s v="Wireless Mouse"/>
    <n v="25"/>
    <n v="1500"/>
    <n v="0"/>
    <n v="37500"/>
    <n v="38885.589999999997"/>
    <n v="0.96440000000000003"/>
    <s v="Retail"/>
  </r>
  <r>
    <s v="ORD010"/>
    <x v="9"/>
    <x v="6"/>
    <x v="1"/>
    <x v="6"/>
    <x v="6"/>
    <x v="6"/>
    <x v="2"/>
    <s v="Keyboard"/>
    <n v="27"/>
    <n v="2800"/>
    <n v="0"/>
    <n v="75600"/>
    <n v="82374.89"/>
    <n v="0.91779999999999995"/>
    <s v="Retail"/>
  </r>
  <r>
    <s v="ORD011"/>
    <x v="10"/>
    <x v="6"/>
    <x v="2"/>
    <x v="7"/>
    <x v="7"/>
    <x v="7"/>
    <x v="3"/>
    <s v="Notebook Pack"/>
    <n v="13"/>
    <n v="1200"/>
    <n v="0"/>
    <n v="15600"/>
    <n v="14411.97"/>
    <n v="1.0824"/>
    <s v="Wholesale"/>
  </r>
  <r>
    <s v="ORD012"/>
    <x v="11"/>
    <x v="7"/>
    <x v="3"/>
    <x v="8"/>
    <x v="8"/>
    <x v="8"/>
    <x v="3"/>
    <s v="Notebook Pack"/>
    <n v="25"/>
    <n v="1200"/>
    <n v="0.1"/>
    <n v="27000"/>
    <n v="24300.14"/>
    <n v="1.1111"/>
    <s v="Retail"/>
  </r>
  <r>
    <s v="ORD013"/>
    <x v="11"/>
    <x v="7"/>
    <x v="3"/>
    <x v="5"/>
    <x v="5"/>
    <x v="8"/>
    <x v="2"/>
    <s v="Wireless Mouse"/>
    <n v="17"/>
    <n v="1500"/>
    <n v="0.05"/>
    <n v="24225"/>
    <n v="22450.82"/>
    <n v="1.079"/>
    <s v="Wholesale"/>
  </r>
  <r>
    <s v="ORD014"/>
    <x v="12"/>
    <x v="4"/>
    <x v="1"/>
    <x v="9"/>
    <x v="9"/>
    <x v="3"/>
    <x v="1"/>
    <s v="Monitor"/>
    <n v="4"/>
    <n v="18000"/>
    <n v="0"/>
    <n v="72000"/>
    <n v="81160.399999999994"/>
    <n v="0.8871"/>
    <s v="Wholesale"/>
  </r>
  <r>
    <s v="ORD015"/>
    <x v="13"/>
    <x v="6"/>
    <x v="0"/>
    <x v="4"/>
    <x v="4"/>
    <x v="1"/>
    <x v="2"/>
    <s v="Wireless Mouse"/>
    <n v="19"/>
    <n v="1500"/>
    <n v="0.05"/>
    <n v="27075"/>
    <n v="32215.93"/>
    <n v="0.84040000000000004"/>
    <s v="Retail"/>
  </r>
  <r>
    <s v="ORD016"/>
    <x v="14"/>
    <x v="7"/>
    <x v="0"/>
    <x v="1"/>
    <x v="1"/>
    <x v="0"/>
    <x v="2"/>
    <s v="Keyboard"/>
    <n v="15"/>
    <n v="2800"/>
    <n v="0"/>
    <n v="42000"/>
    <n v="40014.449999999997"/>
    <n v="1.0496000000000001"/>
    <s v="Corporate"/>
  </r>
  <r>
    <s v="ORD017"/>
    <x v="15"/>
    <x v="3"/>
    <x v="0"/>
    <x v="1"/>
    <x v="1"/>
    <x v="0"/>
    <x v="3"/>
    <s v="Stationery Kit"/>
    <n v="29"/>
    <n v="1800"/>
    <n v="0"/>
    <n v="52200"/>
    <n v="53645.34"/>
    <n v="0.97309999999999997"/>
    <s v="Wholesale"/>
  </r>
  <r>
    <s v="ORD018"/>
    <x v="16"/>
    <x v="2"/>
    <x v="3"/>
    <x v="5"/>
    <x v="5"/>
    <x v="9"/>
    <x v="1"/>
    <s v="Printer"/>
    <n v="7"/>
    <n v="15000"/>
    <n v="0"/>
    <n v="105000"/>
    <n v="109072.18"/>
    <n v="0.9627"/>
    <s v="Wholesale"/>
  </r>
  <r>
    <s v="ORD019"/>
    <x v="17"/>
    <x v="6"/>
    <x v="0"/>
    <x v="1"/>
    <x v="1"/>
    <x v="0"/>
    <x v="3"/>
    <s v="Printer Paper Box"/>
    <n v="5"/>
    <n v="2500"/>
    <n v="0"/>
    <n v="12500"/>
    <n v="14689.81"/>
    <n v="0.85089999999999999"/>
    <s v="Corporate"/>
  </r>
  <r>
    <s v="ORD020"/>
    <x v="18"/>
    <x v="2"/>
    <x v="2"/>
    <x v="7"/>
    <x v="7"/>
    <x v="10"/>
    <x v="2"/>
    <s v="Wireless Mouse"/>
    <n v="7"/>
    <n v="1500"/>
    <n v="0"/>
    <n v="10500"/>
    <n v="11614.76"/>
    <n v="0.90400000000000003"/>
    <s v="Retail"/>
  </r>
  <r>
    <s v="ORD021"/>
    <x v="19"/>
    <x v="0"/>
    <x v="2"/>
    <x v="7"/>
    <x v="7"/>
    <x v="11"/>
    <x v="3"/>
    <s v="Stationery Kit"/>
    <n v="10"/>
    <n v="1800"/>
    <n v="0.05"/>
    <n v="17100"/>
    <n v="17693.13"/>
    <n v="0.96650000000000003"/>
    <s v="Corporate"/>
  </r>
  <r>
    <s v="ORD022"/>
    <x v="20"/>
    <x v="0"/>
    <x v="2"/>
    <x v="3"/>
    <x v="3"/>
    <x v="10"/>
    <x v="2"/>
    <s v="Headphones"/>
    <n v="14"/>
    <n v="3500"/>
    <n v="0.1"/>
    <n v="44100"/>
    <n v="52845.13"/>
    <n v="0.83450000000000002"/>
    <s v="Corporate"/>
  </r>
  <r>
    <s v="ORD023"/>
    <x v="21"/>
    <x v="3"/>
    <x v="1"/>
    <x v="2"/>
    <x v="2"/>
    <x v="12"/>
    <x v="1"/>
    <s v="Monitor"/>
    <n v="5"/>
    <n v="18000"/>
    <n v="0"/>
    <n v="90000"/>
    <n v="78516.820000000007"/>
    <n v="1.1463000000000001"/>
    <s v="Wholesale"/>
  </r>
  <r>
    <s v="ORD024"/>
    <x v="22"/>
    <x v="6"/>
    <x v="2"/>
    <x v="3"/>
    <x v="3"/>
    <x v="10"/>
    <x v="1"/>
    <s v="Laptop"/>
    <n v="3"/>
    <n v="55000"/>
    <n v="0"/>
    <n v="165000"/>
    <n v="153471.39000000001"/>
    <n v="1.0750999999999999"/>
    <s v="Retail"/>
  </r>
  <r>
    <s v="ORD025"/>
    <x v="23"/>
    <x v="7"/>
    <x v="3"/>
    <x v="8"/>
    <x v="8"/>
    <x v="9"/>
    <x v="0"/>
    <s v="Office Desk"/>
    <n v="12"/>
    <n v="22000"/>
    <n v="0.1"/>
    <n v="237600"/>
    <n v="219775.93"/>
    <n v="1.0810999999999999"/>
    <s v="Wholesale"/>
  </r>
  <r>
    <s v="ORD026"/>
    <x v="24"/>
    <x v="4"/>
    <x v="1"/>
    <x v="9"/>
    <x v="9"/>
    <x v="12"/>
    <x v="3"/>
    <s v="Notebook Pack"/>
    <n v="11"/>
    <n v="1200"/>
    <n v="0"/>
    <n v="13200"/>
    <n v="11667.82"/>
    <n v="1.1313"/>
    <s v="Corporate"/>
  </r>
  <r>
    <s v="ORD027"/>
    <x v="25"/>
    <x v="2"/>
    <x v="1"/>
    <x v="6"/>
    <x v="6"/>
    <x v="12"/>
    <x v="2"/>
    <s v="Headphones"/>
    <n v="6"/>
    <n v="3500"/>
    <n v="0"/>
    <n v="21000"/>
    <n v="18295.5"/>
    <n v="1.1477999999999999"/>
    <s v="Corporate"/>
  </r>
  <r>
    <s v="ORD028"/>
    <x v="26"/>
    <x v="7"/>
    <x v="0"/>
    <x v="0"/>
    <x v="0"/>
    <x v="2"/>
    <x v="0"/>
    <s v="Office Chair"/>
    <n v="22"/>
    <n v="8500"/>
    <n v="0.1"/>
    <n v="168300"/>
    <n v="151312.44"/>
    <n v="1.1123000000000001"/>
    <s v="Corporate"/>
  </r>
  <r>
    <s v="ORD029"/>
    <x v="27"/>
    <x v="1"/>
    <x v="1"/>
    <x v="9"/>
    <x v="9"/>
    <x v="3"/>
    <x v="3"/>
    <s v="Printer Paper Box"/>
    <n v="30"/>
    <n v="2500"/>
    <n v="0"/>
    <n v="75000"/>
    <n v="65077.94"/>
    <n v="1.1525000000000001"/>
    <s v="Retail"/>
  </r>
  <r>
    <s v="ORD030"/>
    <x v="28"/>
    <x v="4"/>
    <x v="0"/>
    <x v="0"/>
    <x v="0"/>
    <x v="2"/>
    <x v="3"/>
    <s v="Notebook Pack"/>
    <n v="20"/>
    <n v="1200"/>
    <n v="0.1"/>
    <n v="21600"/>
    <n v="19975.93"/>
    <n v="1.0812999999999999"/>
    <s v="Retail"/>
  </r>
  <r>
    <s v="ORD031"/>
    <x v="29"/>
    <x v="0"/>
    <x v="2"/>
    <x v="10"/>
    <x v="10"/>
    <x v="4"/>
    <x v="3"/>
    <s v="Notebook Pack"/>
    <n v="13"/>
    <n v="1200"/>
    <n v="0.1"/>
    <n v="14040"/>
    <n v="13335.71"/>
    <n v="1.0528"/>
    <s v="Wholesale"/>
  </r>
  <r>
    <s v="ORD032"/>
    <x v="27"/>
    <x v="1"/>
    <x v="1"/>
    <x v="9"/>
    <x v="9"/>
    <x v="13"/>
    <x v="0"/>
    <s v="Office Desk"/>
    <n v="5"/>
    <n v="22000"/>
    <n v="0"/>
    <n v="110000"/>
    <n v="115798.44"/>
    <n v="0.94989999999999997"/>
    <s v="Retail"/>
  </r>
  <r>
    <s v="ORD033"/>
    <x v="30"/>
    <x v="1"/>
    <x v="3"/>
    <x v="8"/>
    <x v="8"/>
    <x v="5"/>
    <x v="2"/>
    <s v="Wireless Mouse"/>
    <n v="20"/>
    <n v="1500"/>
    <n v="0"/>
    <n v="30000"/>
    <n v="26097.24"/>
    <n v="1.1495"/>
    <s v="Retail"/>
  </r>
  <r>
    <s v="ORD034"/>
    <x v="31"/>
    <x v="6"/>
    <x v="2"/>
    <x v="7"/>
    <x v="7"/>
    <x v="4"/>
    <x v="2"/>
    <s v="Keyboard"/>
    <n v="12"/>
    <n v="2800"/>
    <n v="0.1"/>
    <n v="30240"/>
    <n v="26972.880000000001"/>
    <n v="1.1211"/>
    <s v="Wholesale"/>
  </r>
  <r>
    <s v="ORD035"/>
    <x v="32"/>
    <x v="1"/>
    <x v="2"/>
    <x v="3"/>
    <x v="3"/>
    <x v="4"/>
    <x v="2"/>
    <s v="Wireless Mouse"/>
    <n v="7"/>
    <n v="1500"/>
    <n v="0.1"/>
    <n v="9450"/>
    <n v="10206.76"/>
    <n v="0.92589999999999995"/>
    <s v="Wholesale"/>
  </r>
  <r>
    <s v="ORD036"/>
    <x v="33"/>
    <x v="4"/>
    <x v="3"/>
    <x v="11"/>
    <x v="11"/>
    <x v="9"/>
    <x v="2"/>
    <s v="Keyboard"/>
    <n v="27"/>
    <n v="2800"/>
    <n v="0.05"/>
    <n v="71820"/>
    <n v="67046.850000000006"/>
    <n v="1.0711999999999999"/>
    <s v="Retail"/>
  </r>
  <r>
    <s v="ORD037"/>
    <x v="32"/>
    <x v="1"/>
    <x v="3"/>
    <x v="11"/>
    <x v="11"/>
    <x v="14"/>
    <x v="1"/>
    <s v="Monitor"/>
    <n v="2"/>
    <n v="18000"/>
    <n v="0.1"/>
    <n v="32400"/>
    <n v="34583.949999999997"/>
    <n v="0.93689999999999996"/>
    <s v="Retail"/>
  </r>
  <r>
    <s v="ORD038"/>
    <x v="34"/>
    <x v="6"/>
    <x v="0"/>
    <x v="1"/>
    <x v="1"/>
    <x v="2"/>
    <x v="3"/>
    <s v="Stationery Kit"/>
    <n v="13"/>
    <n v="1800"/>
    <n v="0"/>
    <n v="23400"/>
    <n v="27533.39"/>
    <n v="0.84989999999999999"/>
    <s v="Retail"/>
  </r>
  <r>
    <s v="ORD039"/>
    <x v="4"/>
    <x v="2"/>
    <x v="2"/>
    <x v="10"/>
    <x v="10"/>
    <x v="7"/>
    <x v="1"/>
    <s v="Printer"/>
    <n v="9"/>
    <n v="15000"/>
    <n v="0.05"/>
    <n v="128250"/>
    <n v="136469.19"/>
    <n v="0.93979999999999997"/>
    <s v="Wholesale"/>
  </r>
  <r>
    <s v="ORD040"/>
    <x v="31"/>
    <x v="6"/>
    <x v="0"/>
    <x v="1"/>
    <x v="1"/>
    <x v="0"/>
    <x v="2"/>
    <s v="Keyboard"/>
    <n v="8"/>
    <n v="2800"/>
    <n v="0"/>
    <n v="22400"/>
    <n v="21113.41"/>
    <n v="1.0609"/>
    <s v="Retail"/>
  </r>
  <r>
    <s v="ORD041"/>
    <x v="35"/>
    <x v="0"/>
    <x v="2"/>
    <x v="10"/>
    <x v="10"/>
    <x v="7"/>
    <x v="2"/>
    <s v="Wireless Mouse"/>
    <n v="11"/>
    <n v="1500"/>
    <n v="0.05"/>
    <n v="15675"/>
    <n v="14440.74"/>
    <n v="1.0854999999999999"/>
    <s v="Corporate"/>
  </r>
  <r>
    <s v="ORD042"/>
    <x v="36"/>
    <x v="3"/>
    <x v="1"/>
    <x v="6"/>
    <x v="6"/>
    <x v="3"/>
    <x v="1"/>
    <s v="Monitor"/>
    <n v="12"/>
    <n v="18000"/>
    <n v="0.1"/>
    <n v="194400"/>
    <n v="221668.84"/>
    <n v="0.877"/>
    <s v="Retail"/>
  </r>
  <r>
    <s v="ORD043"/>
    <x v="37"/>
    <x v="4"/>
    <x v="3"/>
    <x v="8"/>
    <x v="8"/>
    <x v="14"/>
    <x v="1"/>
    <s v="Printer"/>
    <n v="13"/>
    <n v="15000"/>
    <n v="0.1"/>
    <n v="175500"/>
    <n v="183061.97"/>
    <n v="0.9587"/>
    <s v="Wholesale"/>
  </r>
  <r>
    <s v="ORD044"/>
    <x v="38"/>
    <x v="1"/>
    <x v="0"/>
    <x v="0"/>
    <x v="0"/>
    <x v="15"/>
    <x v="2"/>
    <s v="Headphones"/>
    <n v="9"/>
    <n v="3500"/>
    <n v="0"/>
    <n v="31500"/>
    <n v="35976.410000000003"/>
    <n v="0.87560000000000004"/>
    <s v="Wholesale"/>
  </r>
  <r>
    <s v="ORD045"/>
    <x v="39"/>
    <x v="2"/>
    <x v="2"/>
    <x v="10"/>
    <x v="10"/>
    <x v="10"/>
    <x v="1"/>
    <s v="Laptop"/>
    <n v="6"/>
    <n v="55000"/>
    <n v="0.05"/>
    <n v="313500"/>
    <n v="365115.74"/>
    <n v="0.85860000000000003"/>
    <s v="Retail"/>
  </r>
  <r>
    <s v="ORD046"/>
    <x v="40"/>
    <x v="6"/>
    <x v="3"/>
    <x v="8"/>
    <x v="8"/>
    <x v="9"/>
    <x v="2"/>
    <s v="Keyboard"/>
    <n v="8"/>
    <n v="2800"/>
    <n v="0.05"/>
    <n v="21280"/>
    <n v="23898.31"/>
    <n v="0.89039999999999997"/>
    <s v="Corporate"/>
  </r>
  <r>
    <s v="ORD047"/>
    <x v="41"/>
    <x v="6"/>
    <x v="2"/>
    <x v="7"/>
    <x v="7"/>
    <x v="10"/>
    <x v="1"/>
    <s v="Printer"/>
    <n v="8"/>
    <n v="15000"/>
    <n v="0"/>
    <n v="120000"/>
    <n v="109533.15"/>
    <n v="1.0955999999999999"/>
    <s v="Corporate"/>
  </r>
  <r>
    <s v="ORD048"/>
    <x v="42"/>
    <x v="3"/>
    <x v="1"/>
    <x v="2"/>
    <x v="2"/>
    <x v="13"/>
    <x v="0"/>
    <s v="Office Desk"/>
    <n v="4"/>
    <n v="22000"/>
    <n v="0"/>
    <n v="88000"/>
    <n v="86582.29"/>
    <n v="1.0164"/>
    <s v="Corporate"/>
  </r>
  <r>
    <s v="ORD049"/>
    <x v="43"/>
    <x v="0"/>
    <x v="2"/>
    <x v="7"/>
    <x v="7"/>
    <x v="11"/>
    <x v="0"/>
    <s v="Storage Cabinet"/>
    <n v="6"/>
    <n v="14000"/>
    <n v="0"/>
    <n v="84000"/>
    <n v="77953.95"/>
    <n v="1.0775999999999999"/>
    <s v="Retail"/>
  </r>
  <r>
    <s v="ORD050"/>
    <x v="30"/>
    <x v="1"/>
    <x v="1"/>
    <x v="6"/>
    <x v="6"/>
    <x v="6"/>
    <x v="1"/>
    <s v="Monitor"/>
    <n v="14"/>
    <n v="18000"/>
    <n v="0.05"/>
    <n v="239400"/>
    <n v="232912.53"/>
    <n v="1.0279"/>
    <s v="Corporate"/>
  </r>
  <r>
    <s v="ORD051"/>
    <x v="44"/>
    <x v="0"/>
    <x v="3"/>
    <x v="8"/>
    <x v="8"/>
    <x v="5"/>
    <x v="0"/>
    <s v="Office Desk"/>
    <n v="4"/>
    <n v="22000"/>
    <n v="0.05"/>
    <n v="83600"/>
    <n v="72179.41"/>
    <n v="1.1581999999999999"/>
    <s v="Corporate"/>
  </r>
  <r>
    <s v="ORD052"/>
    <x v="45"/>
    <x v="1"/>
    <x v="3"/>
    <x v="5"/>
    <x v="5"/>
    <x v="14"/>
    <x v="3"/>
    <s v="Notebook Pack"/>
    <n v="24"/>
    <n v="1200"/>
    <n v="0"/>
    <n v="28800"/>
    <n v="28362.77"/>
    <n v="1.0154000000000001"/>
    <s v="Retail"/>
  </r>
  <r>
    <s v="ORD053"/>
    <x v="46"/>
    <x v="3"/>
    <x v="3"/>
    <x v="8"/>
    <x v="8"/>
    <x v="8"/>
    <x v="1"/>
    <s v="Laptop"/>
    <n v="10"/>
    <n v="55000"/>
    <n v="0"/>
    <n v="550000"/>
    <n v="537612.63"/>
    <n v="1.0229999999999999"/>
    <s v="Wholesale"/>
  </r>
  <r>
    <s v="ORD054"/>
    <x v="47"/>
    <x v="0"/>
    <x v="3"/>
    <x v="5"/>
    <x v="5"/>
    <x v="14"/>
    <x v="2"/>
    <s v="Keyboard"/>
    <n v="8"/>
    <n v="2800"/>
    <n v="0.05"/>
    <n v="21280"/>
    <n v="21865.05"/>
    <n v="0.97319999999999995"/>
    <s v="Corporate"/>
  </r>
  <r>
    <s v="ORD055"/>
    <x v="48"/>
    <x v="6"/>
    <x v="3"/>
    <x v="11"/>
    <x v="11"/>
    <x v="14"/>
    <x v="3"/>
    <s v="Stationery Kit"/>
    <n v="9"/>
    <n v="1800"/>
    <n v="0"/>
    <n v="16200"/>
    <n v="16153.93"/>
    <n v="1.0028999999999999"/>
    <s v="Corporate"/>
  </r>
  <r>
    <s v="ORD056"/>
    <x v="49"/>
    <x v="7"/>
    <x v="2"/>
    <x v="3"/>
    <x v="3"/>
    <x v="7"/>
    <x v="3"/>
    <s v="Notebook Pack"/>
    <n v="22"/>
    <n v="1200"/>
    <n v="0"/>
    <n v="26400"/>
    <n v="25247.8"/>
    <n v="1.0456000000000001"/>
    <s v="Corporate"/>
  </r>
  <r>
    <s v="ORD057"/>
    <x v="39"/>
    <x v="2"/>
    <x v="3"/>
    <x v="11"/>
    <x v="11"/>
    <x v="8"/>
    <x v="3"/>
    <s v="Printer Paper Box"/>
    <n v="26"/>
    <n v="2500"/>
    <n v="0"/>
    <n v="65000"/>
    <n v="66879.210000000006"/>
    <n v="0.97189999999999999"/>
    <s v="Wholesale"/>
  </r>
  <r>
    <s v="ORD058"/>
    <x v="50"/>
    <x v="2"/>
    <x v="2"/>
    <x v="3"/>
    <x v="3"/>
    <x v="4"/>
    <x v="0"/>
    <s v="Office Desk"/>
    <n v="10"/>
    <n v="22000"/>
    <n v="0.05"/>
    <n v="209000"/>
    <n v="184481.27"/>
    <n v="1.1329"/>
    <s v="Retail"/>
  </r>
  <r>
    <s v="ORD059"/>
    <x v="51"/>
    <x v="1"/>
    <x v="3"/>
    <x v="8"/>
    <x v="8"/>
    <x v="9"/>
    <x v="1"/>
    <s v="Printer"/>
    <n v="2"/>
    <n v="15000"/>
    <n v="0"/>
    <n v="30000"/>
    <n v="28070.85"/>
    <n v="1.0687"/>
    <s v="Wholesale"/>
  </r>
  <r>
    <s v="ORD060"/>
    <x v="52"/>
    <x v="4"/>
    <x v="0"/>
    <x v="4"/>
    <x v="4"/>
    <x v="1"/>
    <x v="2"/>
    <s v="Keyboard"/>
    <n v="23"/>
    <n v="2800"/>
    <n v="0"/>
    <n v="64400"/>
    <n v="70931.520000000004"/>
    <n v="0.90790000000000004"/>
    <s v="Corporate"/>
  </r>
  <r>
    <s v="ORD061"/>
    <x v="13"/>
    <x v="6"/>
    <x v="1"/>
    <x v="9"/>
    <x v="9"/>
    <x v="13"/>
    <x v="2"/>
    <s v="Keyboard"/>
    <n v="27"/>
    <n v="2800"/>
    <n v="0"/>
    <n v="75600"/>
    <n v="87879.78"/>
    <n v="0.86029999999999995"/>
    <s v="Retail"/>
  </r>
  <r>
    <s v="ORD062"/>
    <x v="53"/>
    <x v="5"/>
    <x v="1"/>
    <x v="9"/>
    <x v="9"/>
    <x v="13"/>
    <x v="2"/>
    <s v="Headphones"/>
    <n v="21"/>
    <n v="3500"/>
    <n v="0.1"/>
    <n v="66150"/>
    <n v="57390.18"/>
    <n v="1.1526000000000001"/>
    <s v="Retail"/>
  </r>
  <r>
    <s v="ORD063"/>
    <x v="54"/>
    <x v="6"/>
    <x v="1"/>
    <x v="9"/>
    <x v="9"/>
    <x v="12"/>
    <x v="2"/>
    <s v="Keyboard"/>
    <n v="21"/>
    <n v="2800"/>
    <n v="0.05"/>
    <n v="55860"/>
    <n v="66055.22"/>
    <n v="0.84570000000000001"/>
    <s v="Corporate"/>
  </r>
  <r>
    <s v="ORD064"/>
    <x v="50"/>
    <x v="2"/>
    <x v="1"/>
    <x v="2"/>
    <x v="2"/>
    <x v="12"/>
    <x v="1"/>
    <s v="Printer"/>
    <n v="13"/>
    <n v="15000"/>
    <n v="0.1"/>
    <n v="175500"/>
    <n v="176820.53"/>
    <n v="0.99250000000000005"/>
    <s v="Retail"/>
  </r>
  <r>
    <s v="ORD065"/>
    <x v="55"/>
    <x v="2"/>
    <x v="3"/>
    <x v="5"/>
    <x v="5"/>
    <x v="8"/>
    <x v="2"/>
    <s v="Keyboard"/>
    <n v="12"/>
    <n v="2800"/>
    <n v="0.05"/>
    <n v="31920"/>
    <n v="32046.26"/>
    <n v="0.99609999999999999"/>
    <s v="Corporate"/>
  </r>
  <r>
    <s v="ORD066"/>
    <x v="56"/>
    <x v="5"/>
    <x v="2"/>
    <x v="10"/>
    <x v="10"/>
    <x v="7"/>
    <x v="0"/>
    <s v="Storage Cabinet"/>
    <n v="10"/>
    <n v="14000"/>
    <n v="0"/>
    <n v="140000"/>
    <n v="125780.33"/>
    <n v="1.1131"/>
    <s v="Corporate"/>
  </r>
  <r>
    <s v="ORD067"/>
    <x v="57"/>
    <x v="4"/>
    <x v="2"/>
    <x v="3"/>
    <x v="3"/>
    <x v="10"/>
    <x v="1"/>
    <s v="Monitor"/>
    <n v="8"/>
    <n v="18000"/>
    <n v="0.1"/>
    <n v="129600"/>
    <n v="125168.78"/>
    <n v="1.0354000000000001"/>
    <s v="Corporate"/>
  </r>
  <r>
    <s v="ORD068"/>
    <x v="3"/>
    <x v="2"/>
    <x v="0"/>
    <x v="0"/>
    <x v="0"/>
    <x v="1"/>
    <x v="3"/>
    <s v="Notebook Pack"/>
    <n v="29"/>
    <n v="1200"/>
    <n v="0"/>
    <n v="34800"/>
    <n v="40015"/>
    <n v="0.86970000000000003"/>
    <s v="Wholesale"/>
  </r>
  <r>
    <s v="ORD069"/>
    <x v="58"/>
    <x v="6"/>
    <x v="1"/>
    <x v="6"/>
    <x v="6"/>
    <x v="3"/>
    <x v="0"/>
    <s v="Storage Cabinet"/>
    <n v="6"/>
    <n v="14000"/>
    <n v="0.1"/>
    <n v="75600"/>
    <n v="86842.23"/>
    <n v="0.87050000000000005"/>
    <s v="Corporate"/>
  </r>
  <r>
    <s v="ORD070"/>
    <x v="59"/>
    <x v="5"/>
    <x v="2"/>
    <x v="10"/>
    <x v="10"/>
    <x v="10"/>
    <x v="0"/>
    <s v="Office Desk"/>
    <n v="8"/>
    <n v="22000"/>
    <n v="0.1"/>
    <n v="158400"/>
    <n v="136249.14000000001"/>
    <n v="1.1626000000000001"/>
    <s v="Wholesale"/>
  </r>
  <r>
    <s v="ORD071"/>
    <x v="60"/>
    <x v="0"/>
    <x v="1"/>
    <x v="2"/>
    <x v="2"/>
    <x v="13"/>
    <x v="3"/>
    <s v="Printer Paper Box"/>
    <n v="9"/>
    <n v="2500"/>
    <n v="0"/>
    <n v="22500"/>
    <n v="26267.06"/>
    <n v="0.85660000000000003"/>
    <s v="Wholesale"/>
  </r>
  <r>
    <s v="ORD072"/>
    <x v="61"/>
    <x v="5"/>
    <x v="0"/>
    <x v="0"/>
    <x v="0"/>
    <x v="1"/>
    <x v="1"/>
    <s v="Printer"/>
    <n v="15"/>
    <n v="15000"/>
    <n v="0.1"/>
    <n v="202500"/>
    <n v="185005.04"/>
    <n v="1.0946"/>
    <s v="Corporate"/>
  </r>
  <r>
    <s v="ORD073"/>
    <x v="62"/>
    <x v="6"/>
    <x v="3"/>
    <x v="8"/>
    <x v="8"/>
    <x v="8"/>
    <x v="0"/>
    <s v="Storage Cabinet"/>
    <n v="7"/>
    <n v="14000"/>
    <n v="0.1"/>
    <n v="88200"/>
    <n v="83559.78"/>
    <n v="1.0555000000000001"/>
    <s v="Corporate"/>
  </r>
  <r>
    <s v="ORD074"/>
    <x v="63"/>
    <x v="5"/>
    <x v="3"/>
    <x v="8"/>
    <x v="8"/>
    <x v="8"/>
    <x v="1"/>
    <s v="Laptop"/>
    <n v="13"/>
    <n v="55000"/>
    <n v="0"/>
    <n v="715000"/>
    <n v="857976.93"/>
    <n v="0.83340000000000003"/>
    <s v="Retail"/>
  </r>
  <r>
    <s v="ORD075"/>
    <x v="64"/>
    <x v="0"/>
    <x v="0"/>
    <x v="1"/>
    <x v="1"/>
    <x v="15"/>
    <x v="1"/>
    <s v="Laptop"/>
    <n v="5"/>
    <n v="55000"/>
    <n v="0"/>
    <n v="275000"/>
    <n v="314525.78000000003"/>
    <n v="0.87429999999999997"/>
    <s v="Retail"/>
  </r>
  <r>
    <s v="ORD076"/>
    <x v="65"/>
    <x v="5"/>
    <x v="2"/>
    <x v="7"/>
    <x v="7"/>
    <x v="11"/>
    <x v="2"/>
    <s v="Keyboard"/>
    <n v="8"/>
    <n v="2800"/>
    <n v="0"/>
    <n v="22400"/>
    <n v="22685.87"/>
    <n v="0.98740000000000006"/>
    <s v="Corporate"/>
  </r>
  <r>
    <s v="ORD077"/>
    <x v="66"/>
    <x v="6"/>
    <x v="2"/>
    <x v="3"/>
    <x v="3"/>
    <x v="4"/>
    <x v="1"/>
    <s v="Printer"/>
    <n v="6"/>
    <n v="15000"/>
    <n v="0"/>
    <n v="90000"/>
    <n v="94728.57"/>
    <n v="0.95009999999999994"/>
    <s v="Corporate"/>
  </r>
  <r>
    <s v="ORD078"/>
    <x v="67"/>
    <x v="2"/>
    <x v="1"/>
    <x v="6"/>
    <x v="6"/>
    <x v="13"/>
    <x v="1"/>
    <s v="Monitor"/>
    <n v="11"/>
    <n v="18000"/>
    <n v="0"/>
    <n v="198000"/>
    <n v="175361.76"/>
    <n v="1.1291"/>
    <s v="Corporate"/>
  </r>
  <r>
    <s v="ORD079"/>
    <x v="46"/>
    <x v="3"/>
    <x v="0"/>
    <x v="1"/>
    <x v="1"/>
    <x v="15"/>
    <x v="0"/>
    <s v="Storage Cabinet"/>
    <n v="10"/>
    <n v="14000"/>
    <n v="0.1"/>
    <n v="126000"/>
    <n v="136273.09"/>
    <n v="0.92459999999999998"/>
    <s v="Wholesale"/>
  </r>
  <r>
    <s v="ORD080"/>
    <x v="35"/>
    <x v="0"/>
    <x v="3"/>
    <x v="8"/>
    <x v="8"/>
    <x v="8"/>
    <x v="3"/>
    <s v="Printer Paper Box"/>
    <n v="8"/>
    <n v="2500"/>
    <n v="0.1"/>
    <n v="18000"/>
    <n v="21352.959999999999"/>
    <n v="0.84299999999999997"/>
    <s v="Corporate"/>
  </r>
  <r>
    <s v="ORD081"/>
    <x v="68"/>
    <x v="6"/>
    <x v="2"/>
    <x v="10"/>
    <x v="10"/>
    <x v="10"/>
    <x v="2"/>
    <s v="Headphones"/>
    <n v="21"/>
    <n v="3500"/>
    <n v="0.05"/>
    <n v="69825"/>
    <n v="74403.38"/>
    <n v="0.9385"/>
    <s v="Wholesale"/>
  </r>
  <r>
    <s v="ORD082"/>
    <x v="8"/>
    <x v="5"/>
    <x v="1"/>
    <x v="6"/>
    <x v="6"/>
    <x v="12"/>
    <x v="2"/>
    <s v="Headphones"/>
    <n v="23"/>
    <n v="3500"/>
    <n v="0.05"/>
    <n v="76475"/>
    <n v="73630.64"/>
    <n v="1.0386"/>
    <s v="Retail"/>
  </r>
  <r>
    <s v="ORD083"/>
    <x v="69"/>
    <x v="1"/>
    <x v="3"/>
    <x v="11"/>
    <x v="11"/>
    <x v="9"/>
    <x v="3"/>
    <s v="Printer Paper Box"/>
    <n v="23"/>
    <n v="2500"/>
    <n v="0.1"/>
    <n v="51750"/>
    <n v="50080.480000000003"/>
    <n v="1.0333000000000001"/>
    <s v="Corporate"/>
  </r>
  <r>
    <s v="ORD084"/>
    <x v="34"/>
    <x v="6"/>
    <x v="2"/>
    <x v="10"/>
    <x v="10"/>
    <x v="10"/>
    <x v="0"/>
    <s v="Storage Cabinet"/>
    <n v="14"/>
    <n v="14000"/>
    <n v="0.05"/>
    <n v="186200"/>
    <n v="180449.88"/>
    <n v="1.0319"/>
    <s v="Wholesale"/>
  </r>
  <r>
    <s v="ORD085"/>
    <x v="70"/>
    <x v="4"/>
    <x v="3"/>
    <x v="5"/>
    <x v="5"/>
    <x v="5"/>
    <x v="3"/>
    <s v="Stationery Kit"/>
    <n v="11"/>
    <n v="1800"/>
    <n v="0"/>
    <n v="19800"/>
    <n v="18502.599999999999"/>
    <n v="1.0701000000000001"/>
    <s v="Corporate"/>
  </r>
  <r>
    <s v="ORD086"/>
    <x v="71"/>
    <x v="3"/>
    <x v="2"/>
    <x v="3"/>
    <x v="3"/>
    <x v="11"/>
    <x v="2"/>
    <s v="Keyboard"/>
    <n v="27"/>
    <n v="2800"/>
    <n v="0.1"/>
    <n v="68040"/>
    <n v="68506.83"/>
    <n v="0.99319999999999997"/>
    <s v="Retail"/>
  </r>
  <r>
    <s v="ORD087"/>
    <x v="72"/>
    <x v="4"/>
    <x v="3"/>
    <x v="8"/>
    <x v="8"/>
    <x v="8"/>
    <x v="2"/>
    <s v="Headphones"/>
    <n v="12"/>
    <n v="3500"/>
    <n v="0.05"/>
    <n v="39900"/>
    <n v="43187.199999999997"/>
    <n v="0.92390000000000005"/>
    <s v="Corporate"/>
  </r>
  <r>
    <s v="ORD088"/>
    <x v="73"/>
    <x v="5"/>
    <x v="3"/>
    <x v="11"/>
    <x v="11"/>
    <x v="14"/>
    <x v="0"/>
    <s v="Storage Cabinet"/>
    <n v="13"/>
    <n v="14000"/>
    <n v="0.1"/>
    <n v="163800"/>
    <n v="154761.64000000001"/>
    <n v="1.0584"/>
    <s v="Retail"/>
  </r>
  <r>
    <s v="ORD089"/>
    <x v="74"/>
    <x v="2"/>
    <x v="0"/>
    <x v="1"/>
    <x v="1"/>
    <x v="2"/>
    <x v="0"/>
    <s v="Storage Cabinet"/>
    <n v="3"/>
    <n v="14000"/>
    <n v="0"/>
    <n v="42000"/>
    <n v="38515.65"/>
    <n v="1.0905"/>
    <s v="Corporate"/>
  </r>
  <r>
    <s v="ORD090"/>
    <x v="75"/>
    <x v="4"/>
    <x v="3"/>
    <x v="5"/>
    <x v="5"/>
    <x v="14"/>
    <x v="1"/>
    <s v="Monitor"/>
    <n v="15"/>
    <n v="18000"/>
    <n v="0"/>
    <n v="270000"/>
    <n v="257495.29"/>
    <n v="1.0486"/>
    <s v="Retail"/>
  </r>
  <r>
    <s v="ORD091"/>
    <x v="29"/>
    <x v="0"/>
    <x v="3"/>
    <x v="8"/>
    <x v="8"/>
    <x v="9"/>
    <x v="0"/>
    <s v="Office Desk"/>
    <n v="2"/>
    <n v="22000"/>
    <n v="0"/>
    <n v="44000"/>
    <n v="45921.73"/>
    <n v="0.95820000000000005"/>
    <s v="Retail"/>
  </r>
  <r>
    <s v="ORD092"/>
    <x v="76"/>
    <x v="5"/>
    <x v="1"/>
    <x v="9"/>
    <x v="9"/>
    <x v="3"/>
    <x v="2"/>
    <s v="Wireless Mouse"/>
    <n v="14"/>
    <n v="1500"/>
    <n v="0.1"/>
    <n v="18900"/>
    <n v="19231.689999999999"/>
    <n v="0.98280000000000001"/>
    <s v="Retail"/>
  </r>
  <r>
    <s v="ORD093"/>
    <x v="77"/>
    <x v="3"/>
    <x v="0"/>
    <x v="4"/>
    <x v="4"/>
    <x v="1"/>
    <x v="1"/>
    <s v="Monitor"/>
    <n v="15"/>
    <n v="18000"/>
    <n v="0"/>
    <n v="270000"/>
    <n v="267366.84999999998"/>
    <n v="1.0098"/>
    <s v="Wholesale"/>
  </r>
  <r>
    <s v="ORD094"/>
    <x v="78"/>
    <x v="3"/>
    <x v="0"/>
    <x v="0"/>
    <x v="0"/>
    <x v="2"/>
    <x v="2"/>
    <s v="Wireless Mouse"/>
    <n v="14"/>
    <n v="1500"/>
    <n v="0"/>
    <n v="21000"/>
    <n v="25155.3"/>
    <n v="0.83479999999999999"/>
    <s v="Wholesale"/>
  </r>
  <r>
    <s v="ORD095"/>
    <x v="79"/>
    <x v="5"/>
    <x v="1"/>
    <x v="2"/>
    <x v="2"/>
    <x v="13"/>
    <x v="3"/>
    <s v="Stationery Kit"/>
    <n v="17"/>
    <n v="1800"/>
    <n v="0.1"/>
    <n v="27540"/>
    <n v="32166.07"/>
    <n v="0.85619999999999996"/>
    <s v="Wholesale"/>
  </r>
  <r>
    <s v="ORD096"/>
    <x v="49"/>
    <x v="7"/>
    <x v="1"/>
    <x v="6"/>
    <x v="6"/>
    <x v="3"/>
    <x v="2"/>
    <s v="Wireless Mouse"/>
    <n v="28"/>
    <n v="1500"/>
    <n v="0"/>
    <n v="42000"/>
    <n v="49629.58"/>
    <n v="0.84630000000000005"/>
    <s v="Wholesale"/>
  </r>
  <r>
    <s v="ORD097"/>
    <x v="14"/>
    <x v="7"/>
    <x v="2"/>
    <x v="10"/>
    <x v="10"/>
    <x v="4"/>
    <x v="1"/>
    <s v="Printer"/>
    <n v="5"/>
    <n v="15000"/>
    <n v="0"/>
    <n v="75000"/>
    <n v="78239.8"/>
    <n v="0.95860000000000001"/>
    <s v="Retail"/>
  </r>
  <r>
    <s v="ORD098"/>
    <x v="80"/>
    <x v="5"/>
    <x v="1"/>
    <x v="6"/>
    <x v="6"/>
    <x v="12"/>
    <x v="0"/>
    <s v="Office Desk"/>
    <n v="2"/>
    <n v="22000"/>
    <n v="0"/>
    <n v="44000"/>
    <n v="41836.82"/>
    <n v="1.0517000000000001"/>
    <s v="Wholesale"/>
  </r>
  <r>
    <s v="ORD099"/>
    <x v="81"/>
    <x v="1"/>
    <x v="1"/>
    <x v="9"/>
    <x v="9"/>
    <x v="13"/>
    <x v="0"/>
    <s v="Office Desk"/>
    <n v="14"/>
    <n v="22000"/>
    <n v="0"/>
    <n v="308000"/>
    <n v="307629.98"/>
    <n v="1.0012000000000001"/>
    <s v="Retail"/>
  </r>
  <r>
    <s v="ORD100"/>
    <x v="44"/>
    <x v="0"/>
    <x v="2"/>
    <x v="10"/>
    <x v="10"/>
    <x v="10"/>
    <x v="1"/>
    <s v="Monitor"/>
    <n v="2"/>
    <n v="18000"/>
    <n v="0"/>
    <n v="36000"/>
    <n v="40587.120000000003"/>
    <n v="0.88700000000000001"/>
    <s v="Wholesale"/>
  </r>
  <r>
    <s v="ORD101"/>
    <x v="10"/>
    <x v="6"/>
    <x v="3"/>
    <x v="11"/>
    <x v="11"/>
    <x v="5"/>
    <x v="3"/>
    <s v="Printer Paper Box"/>
    <n v="27"/>
    <n v="2500"/>
    <n v="0.05"/>
    <n v="64125"/>
    <n v="70210.899999999994"/>
    <n v="0.9133"/>
    <s v="Corporate"/>
  </r>
  <r>
    <s v="ORD102"/>
    <x v="82"/>
    <x v="0"/>
    <x v="1"/>
    <x v="6"/>
    <x v="6"/>
    <x v="3"/>
    <x v="2"/>
    <s v="Wireless Mouse"/>
    <n v="6"/>
    <n v="1500"/>
    <n v="0.1"/>
    <n v="8100"/>
    <n v="8967.4"/>
    <n v="0.90329999999999999"/>
    <s v="Corporate"/>
  </r>
  <r>
    <s v="ORD103"/>
    <x v="83"/>
    <x v="0"/>
    <x v="0"/>
    <x v="0"/>
    <x v="0"/>
    <x v="2"/>
    <x v="2"/>
    <s v="Keyboard"/>
    <n v="23"/>
    <n v="2800"/>
    <n v="0"/>
    <n v="64400"/>
    <n v="77270.36"/>
    <n v="0.83340000000000003"/>
    <s v="Corporate"/>
  </r>
  <r>
    <s v="ORD104"/>
    <x v="26"/>
    <x v="7"/>
    <x v="0"/>
    <x v="0"/>
    <x v="0"/>
    <x v="1"/>
    <x v="3"/>
    <s v="Stationery Kit"/>
    <n v="25"/>
    <n v="1800"/>
    <n v="0.1"/>
    <n v="40500"/>
    <n v="47410.33"/>
    <n v="0.85419999999999996"/>
    <s v="Wholesale"/>
  </r>
  <r>
    <s v="ORD105"/>
    <x v="84"/>
    <x v="5"/>
    <x v="1"/>
    <x v="2"/>
    <x v="2"/>
    <x v="12"/>
    <x v="1"/>
    <s v="Monitor"/>
    <n v="9"/>
    <n v="18000"/>
    <n v="0.05"/>
    <n v="153900"/>
    <n v="152810.67000000001"/>
    <n v="1.0071000000000001"/>
    <s v="Wholesale"/>
  </r>
  <r>
    <s v="ORD106"/>
    <x v="10"/>
    <x v="6"/>
    <x v="0"/>
    <x v="0"/>
    <x v="0"/>
    <x v="0"/>
    <x v="3"/>
    <s v="Notebook Pack"/>
    <n v="27"/>
    <n v="1200"/>
    <n v="0.1"/>
    <n v="29160"/>
    <n v="27727.55"/>
    <n v="1.0517000000000001"/>
    <s v="Corporate"/>
  </r>
  <r>
    <s v="ORD107"/>
    <x v="67"/>
    <x v="2"/>
    <x v="0"/>
    <x v="4"/>
    <x v="4"/>
    <x v="15"/>
    <x v="0"/>
    <s v="Storage Cabinet"/>
    <n v="6"/>
    <n v="14000"/>
    <n v="0.05"/>
    <n v="79800"/>
    <n v="71067.69"/>
    <n v="1.1229"/>
    <s v="Corporate"/>
  </r>
  <r>
    <s v="ORD108"/>
    <x v="64"/>
    <x v="0"/>
    <x v="0"/>
    <x v="1"/>
    <x v="1"/>
    <x v="1"/>
    <x v="3"/>
    <s v="Notebook Pack"/>
    <n v="6"/>
    <n v="1200"/>
    <n v="0"/>
    <n v="7200"/>
    <n v="7426.47"/>
    <n v="0.96950000000000003"/>
    <s v="Corporate"/>
  </r>
  <r>
    <s v="ORD109"/>
    <x v="85"/>
    <x v="4"/>
    <x v="1"/>
    <x v="9"/>
    <x v="9"/>
    <x v="13"/>
    <x v="0"/>
    <s v="Office Desk"/>
    <n v="10"/>
    <n v="22000"/>
    <n v="0"/>
    <n v="220000"/>
    <n v="258430.8"/>
    <n v="0.85129999999999995"/>
    <s v="Wholesale"/>
  </r>
  <r>
    <s v="ORD110"/>
    <x v="86"/>
    <x v="5"/>
    <x v="1"/>
    <x v="9"/>
    <x v="9"/>
    <x v="3"/>
    <x v="2"/>
    <s v="Keyboard"/>
    <n v="24"/>
    <n v="2800"/>
    <n v="0"/>
    <n v="67200"/>
    <n v="73814.09"/>
    <n v="0.91039999999999999"/>
    <s v="Wholesale"/>
  </r>
  <r>
    <s v="ORD111"/>
    <x v="78"/>
    <x v="3"/>
    <x v="0"/>
    <x v="1"/>
    <x v="1"/>
    <x v="1"/>
    <x v="1"/>
    <s v="Monitor"/>
    <n v="5"/>
    <n v="18000"/>
    <n v="0"/>
    <n v="90000"/>
    <n v="91035.61"/>
    <n v="0.98860000000000003"/>
    <s v="Wholesale"/>
  </r>
  <r>
    <s v="ORD112"/>
    <x v="87"/>
    <x v="1"/>
    <x v="2"/>
    <x v="10"/>
    <x v="10"/>
    <x v="7"/>
    <x v="3"/>
    <s v="Stationery Kit"/>
    <n v="27"/>
    <n v="1800"/>
    <n v="0.05"/>
    <n v="46170"/>
    <n v="45958.62"/>
    <n v="1.0045999999999999"/>
    <s v="Corporate"/>
  </r>
  <r>
    <s v="ORD113"/>
    <x v="88"/>
    <x v="5"/>
    <x v="2"/>
    <x v="10"/>
    <x v="10"/>
    <x v="10"/>
    <x v="3"/>
    <s v="Notebook Pack"/>
    <n v="11"/>
    <n v="1200"/>
    <n v="0"/>
    <n v="13200"/>
    <n v="15211.8"/>
    <n v="0.86770000000000003"/>
    <s v="Corporate"/>
  </r>
  <r>
    <s v="ORD114"/>
    <x v="89"/>
    <x v="1"/>
    <x v="3"/>
    <x v="5"/>
    <x v="5"/>
    <x v="14"/>
    <x v="1"/>
    <s v="Laptop"/>
    <n v="6"/>
    <n v="55000"/>
    <n v="0.05"/>
    <n v="313500"/>
    <n v="358367.05"/>
    <n v="0.87480000000000002"/>
    <s v="Wholesale"/>
  </r>
  <r>
    <s v="ORD115"/>
    <x v="3"/>
    <x v="2"/>
    <x v="1"/>
    <x v="9"/>
    <x v="9"/>
    <x v="12"/>
    <x v="3"/>
    <s v="Stationery Kit"/>
    <n v="20"/>
    <n v="1800"/>
    <n v="0.05"/>
    <n v="34200"/>
    <n v="33049.31"/>
    <n v="1.0347999999999999"/>
    <s v="Wholesale"/>
  </r>
  <r>
    <s v="ORD116"/>
    <x v="56"/>
    <x v="5"/>
    <x v="1"/>
    <x v="6"/>
    <x v="6"/>
    <x v="6"/>
    <x v="0"/>
    <s v="Office Chair"/>
    <n v="27"/>
    <n v="8500"/>
    <n v="0"/>
    <n v="229500"/>
    <n v="241004.65"/>
    <n v="0.95230000000000004"/>
    <s v="Corporate"/>
  </r>
  <r>
    <s v="ORD117"/>
    <x v="90"/>
    <x v="0"/>
    <x v="0"/>
    <x v="4"/>
    <x v="4"/>
    <x v="1"/>
    <x v="2"/>
    <s v="Headphones"/>
    <n v="30"/>
    <n v="3500"/>
    <n v="0.1"/>
    <n v="94500"/>
    <n v="93094.55"/>
    <n v="1.0150999999999999"/>
    <s v="Wholesale"/>
  </r>
  <r>
    <s v="ORD118"/>
    <x v="91"/>
    <x v="6"/>
    <x v="2"/>
    <x v="10"/>
    <x v="10"/>
    <x v="4"/>
    <x v="1"/>
    <s v="Printer"/>
    <n v="10"/>
    <n v="15000"/>
    <n v="0.05"/>
    <n v="142500"/>
    <n v="164501.29999999999"/>
    <n v="0.86629999999999996"/>
    <s v="Corporate"/>
  </r>
  <r>
    <s v="ORD119"/>
    <x v="92"/>
    <x v="0"/>
    <x v="0"/>
    <x v="1"/>
    <x v="1"/>
    <x v="1"/>
    <x v="1"/>
    <s v="Laptop"/>
    <n v="13"/>
    <n v="55000"/>
    <n v="0"/>
    <n v="715000"/>
    <n v="710347.15"/>
    <n v="1.0065999999999999"/>
    <s v="Retail"/>
  </r>
  <r>
    <s v="ORD120"/>
    <x v="93"/>
    <x v="6"/>
    <x v="0"/>
    <x v="4"/>
    <x v="4"/>
    <x v="0"/>
    <x v="0"/>
    <s v="Storage Cabinet"/>
    <n v="11"/>
    <n v="14000"/>
    <n v="0.1"/>
    <n v="138600"/>
    <n v="149333.57999999999"/>
    <n v="0.92810000000000004"/>
    <s v="Corporate"/>
  </r>
  <r>
    <s v="ORD121"/>
    <x v="94"/>
    <x v="0"/>
    <x v="1"/>
    <x v="6"/>
    <x v="6"/>
    <x v="12"/>
    <x v="3"/>
    <s v="Stationery Kit"/>
    <n v="6"/>
    <n v="1800"/>
    <n v="0"/>
    <n v="10800"/>
    <n v="10067.43"/>
    <n v="1.0728"/>
    <s v="Corporate"/>
  </r>
  <r>
    <s v="ORD122"/>
    <x v="95"/>
    <x v="0"/>
    <x v="2"/>
    <x v="3"/>
    <x v="3"/>
    <x v="4"/>
    <x v="3"/>
    <s v="Notebook Pack"/>
    <n v="8"/>
    <n v="1200"/>
    <n v="0"/>
    <n v="9600"/>
    <n v="9650.76"/>
    <n v="0.99470000000000003"/>
    <s v="Corporate"/>
  </r>
  <r>
    <s v="ORD123"/>
    <x v="96"/>
    <x v="7"/>
    <x v="0"/>
    <x v="0"/>
    <x v="0"/>
    <x v="0"/>
    <x v="1"/>
    <s v="Laptop"/>
    <n v="6"/>
    <n v="55000"/>
    <n v="0.05"/>
    <n v="313500"/>
    <n v="307604.44"/>
    <n v="1.0192000000000001"/>
    <s v="Retail"/>
  </r>
  <r>
    <s v="ORD124"/>
    <x v="97"/>
    <x v="4"/>
    <x v="1"/>
    <x v="2"/>
    <x v="2"/>
    <x v="13"/>
    <x v="1"/>
    <s v="Printer"/>
    <n v="4"/>
    <n v="15000"/>
    <n v="0"/>
    <n v="60000"/>
    <n v="63799.33"/>
    <n v="0.94040000000000001"/>
    <s v="Wholesale"/>
  </r>
  <r>
    <s v="ORD125"/>
    <x v="47"/>
    <x v="0"/>
    <x v="2"/>
    <x v="10"/>
    <x v="10"/>
    <x v="10"/>
    <x v="0"/>
    <s v="Office Chair"/>
    <n v="19"/>
    <n v="8500"/>
    <n v="0.05"/>
    <n v="153425"/>
    <n v="155089.60999999999"/>
    <n v="0.98929999999999996"/>
    <s v="Retail"/>
  </r>
  <r>
    <s v="ORD126"/>
    <x v="79"/>
    <x v="5"/>
    <x v="1"/>
    <x v="6"/>
    <x v="6"/>
    <x v="13"/>
    <x v="1"/>
    <s v="Monitor"/>
    <n v="9"/>
    <n v="18000"/>
    <n v="0.05"/>
    <n v="153900"/>
    <n v="184014.86"/>
    <n v="0.83630000000000004"/>
    <s v="Wholesale"/>
  </r>
  <r>
    <s v="ORD127"/>
    <x v="93"/>
    <x v="6"/>
    <x v="1"/>
    <x v="2"/>
    <x v="2"/>
    <x v="6"/>
    <x v="3"/>
    <s v="Printer Paper Box"/>
    <n v="14"/>
    <n v="2500"/>
    <n v="0"/>
    <n v="35000"/>
    <n v="41992.33"/>
    <n v="0.83350000000000002"/>
    <s v="Corporate"/>
  </r>
  <r>
    <s v="ORD128"/>
    <x v="98"/>
    <x v="5"/>
    <x v="0"/>
    <x v="0"/>
    <x v="0"/>
    <x v="1"/>
    <x v="2"/>
    <s v="Wireless Mouse"/>
    <n v="16"/>
    <n v="1500"/>
    <n v="0.05"/>
    <n v="22800"/>
    <n v="27301.68"/>
    <n v="0.83509999999999995"/>
    <s v="Retail"/>
  </r>
  <r>
    <s v="ORD129"/>
    <x v="99"/>
    <x v="2"/>
    <x v="1"/>
    <x v="6"/>
    <x v="6"/>
    <x v="3"/>
    <x v="2"/>
    <s v="Wireless Mouse"/>
    <n v="26"/>
    <n v="1500"/>
    <n v="0"/>
    <n v="39000"/>
    <n v="45579.92"/>
    <n v="0.85560000000000003"/>
    <s v="Corporate"/>
  </r>
  <r>
    <s v="ORD130"/>
    <x v="0"/>
    <x v="0"/>
    <x v="3"/>
    <x v="8"/>
    <x v="8"/>
    <x v="14"/>
    <x v="0"/>
    <s v="Office Chair"/>
    <n v="25"/>
    <n v="8500"/>
    <n v="0"/>
    <n v="212500"/>
    <n v="226803.78"/>
    <n v="0.93689999999999996"/>
    <s v="Wholesale"/>
  </r>
  <r>
    <s v="ORD131"/>
    <x v="85"/>
    <x v="4"/>
    <x v="2"/>
    <x v="3"/>
    <x v="3"/>
    <x v="4"/>
    <x v="2"/>
    <s v="Keyboard"/>
    <n v="25"/>
    <n v="2800"/>
    <n v="0"/>
    <n v="70000"/>
    <n v="67068.86"/>
    <n v="1.0437000000000001"/>
    <s v="Retail"/>
  </r>
  <r>
    <s v="ORD132"/>
    <x v="100"/>
    <x v="7"/>
    <x v="3"/>
    <x v="5"/>
    <x v="5"/>
    <x v="9"/>
    <x v="1"/>
    <s v="Monitor"/>
    <n v="6"/>
    <n v="18000"/>
    <n v="0.05"/>
    <n v="102600"/>
    <n v="114052.04"/>
    <n v="0.89959999999999996"/>
    <s v="Retail"/>
  </r>
  <r>
    <s v="ORD133"/>
    <x v="65"/>
    <x v="5"/>
    <x v="2"/>
    <x v="3"/>
    <x v="3"/>
    <x v="7"/>
    <x v="3"/>
    <s v="Stationery Kit"/>
    <n v="21"/>
    <n v="1800"/>
    <n v="0.05"/>
    <n v="35910"/>
    <n v="40961.300000000003"/>
    <n v="0.87670000000000003"/>
    <s v="Corporate"/>
  </r>
  <r>
    <s v="ORD134"/>
    <x v="101"/>
    <x v="7"/>
    <x v="3"/>
    <x v="5"/>
    <x v="5"/>
    <x v="14"/>
    <x v="1"/>
    <s v="Monitor"/>
    <n v="9"/>
    <n v="18000"/>
    <n v="0"/>
    <n v="162000"/>
    <n v="145680.92000000001"/>
    <n v="1.1120000000000001"/>
    <s v="Wholesale"/>
  </r>
  <r>
    <s v="ORD135"/>
    <x v="102"/>
    <x v="1"/>
    <x v="1"/>
    <x v="2"/>
    <x v="2"/>
    <x v="6"/>
    <x v="1"/>
    <s v="Monitor"/>
    <n v="14"/>
    <n v="18000"/>
    <n v="0.1"/>
    <n v="226800"/>
    <n v="193884.86"/>
    <n v="1.1698"/>
    <s v="Retail"/>
  </r>
  <r>
    <s v="ORD136"/>
    <x v="56"/>
    <x v="5"/>
    <x v="1"/>
    <x v="6"/>
    <x v="6"/>
    <x v="6"/>
    <x v="2"/>
    <s v="Wireless Mouse"/>
    <n v="17"/>
    <n v="1500"/>
    <n v="0.05"/>
    <n v="24225"/>
    <n v="21509.89"/>
    <n v="1.1262000000000001"/>
    <s v="Corporate"/>
  </r>
  <r>
    <s v="ORD137"/>
    <x v="103"/>
    <x v="4"/>
    <x v="0"/>
    <x v="1"/>
    <x v="1"/>
    <x v="0"/>
    <x v="2"/>
    <s v="Wireless Mouse"/>
    <n v="12"/>
    <n v="1500"/>
    <n v="0"/>
    <n v="18000"/>
    <n v="19303.04"/>
    <n v="0.9325"/>
    <s v="Wholesale"/>
  </r>
  <r>
    <s v="ORD138"/>
    <x v="104"/>
    <x v="5"/>
    <x v="3"/>
    <x v="5"/>
    <x v="5"/>
    <x v="8"/>
    <x v="1"/>
    <s v="Monitor"/>
    <n v="4"/>
    <n v="18000"/>
    <n v="0"/>
    <n v="72000"/>
    <n v="85045.79"/>
    <n v="0.84660000000000002"/>
    <s v="Corporate"/>
  </r>
  <r>
    <s v="ORD139"/>
    <x v="105"/>
    <x v="0"/>
    <x v="0"/>
    <x v="0"/>
    <x v="0"/>
    <x v="2"/>
    <x v="3"/>
    <s v="Stationery Kit"/>
    <n v="9"/>
    <n v="1800"/>
    <n v="0.1"/>
    <n v="14580"/>
    <n v="14707.94"/>
    <n v="0.99129999999999996"/>
    <s v="Wholesale"/>
  </r>
  <r>
    <s v="ORD140"/>
    <x v="106"/>
    <x v="0"/>
    <x v="1"/>
    <x v="2"/>
    <x v="2"/>
    <x v="13"/>
    <x v="3"/>
    <s v="Notebook Pack"/>
    <n v="25"/>
    <n v="1200"/>
    <n v="0"/>
    <n v="30000"/>
    <n v="34253.78"/>
    <n v="0.87580000000000002"/>
    <s v="Corporate"/>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57769A-726B-4501-A5EE-8DF424CF230B}" sourceName="Month">
  <data>
    <tabular pivotCacheId="1711450969">
      <items count="8">
        <i x="3" s="1"/>
        <i x="7" s="1"/>
        <i x="5" s="1"/>
        <i x="4" s="1"/>
        <i x="1"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5ECB600-80B9-498C-B3CB-08318CB96A4D}" sourceName="State">
  <data>
    <tabular pivotCacheId="1711450969">
      <items count="12">
        <i x="2" s="1"/>
        <i x="7" s="1"/>
        <i x="11" s="1"/>
        <i x="10" s="1"/>
        <i x="0" s="1"/>
        <i x="8" s="1"/>
        <i x="6" s="1"/>
        <i x="5" s="1"/>
        <i x="4" s="1"/>
        <i x="1" s="1"/>
        <i x="3"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5FAF908-0810-4DDB-B104-EC7A1D9436F6}" sourceName="City">
  <data>
    <tabular pivotCacheId="1711450969">
      <items count="12">
        <i x="11" s="1"/>
        <i x="0" s="1"/>
        <i x="6" s="1"/>
        <i x="4" s="1"/>
        <i x="10" s="1"/>
        <i x="1" s="1"/>
        <i x="5" s="1"/>
        <i x="9" s="1"/>
        <i x="3" s="1"/>
        <i x="8"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010FDA43-6144-4E23-9119-4C61F1A81CD4}" cache="Slicer_Month" caption="Month" style="SlicerStyleLight3" rowHeight="234950"/>
  <slicer name="State 3" xr10:uid="{032CB212-AD6E-428C-BBA3-CDE99576418F}" cache="Slicer_State" caption="State" style="SlicerStyleLight3" rowHeight="234950"/>
  <slicer name="City 7" xr10:uid="{7BE213B7-8F59-4F8A-8158-5AA7754F5676}" cache="Slicer_City1" caption="City" startItem="3"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0612D7-D46C-4EE6-929C-6924792F2EA4}" name="salesdata" displayName="salesdata" ref="A1:P141" totalsRowShown="0" headerRowDxfId="8" headerRowBorderDxfId="7" tableBorderDxfId="6">
  <autoFilter ref="A1:P141" xr:uid="{00000000-0009-0000-0000-000000000000}"/>
  <tableColumns count="16">
    <tableColumn id="1" xr3:uid="{FBB31D22-E469-4678-9901-00ABCB646A96}" name="Order ID"/>
    <tableColumn id="2" xr3:uid="{491512AD-E254-4AD4-B1DB-250F1EDC1B1D}" name="Order Date" dataDxfId="5"/>
    <tableColumn id="3" xr3:uid="{DB33936C-D473-4381-AAB3-E5898D084B67}" name="Month"/>
    <tableColumn id="4" xr3:uid="{682F29D0-6DAA-4ED3-A711-AC3B72B6B676}" name="Region"/>
    <tableColumn id="5" xr3:uid="{910611C0-A1E5-4557-BCD3-4582681B17EB}" name="State"/>
    <tableColumn id="6" xr3:uid="{4A800799-E433-43F2-B620-2B30141F3CC2}" name="City"/>
    <tableColumn id="7" xr3:uid="{68DAAF2B-6723-4AC7-BDA0-40710F89C3B1}" name="Salesperson"/>
    <tableColumn id="8" xr3:uid="{26CAF56A-50C5-429B-9B9B-9F1B997A672C}" name="Product Category"/>
    <tableColumn id="9" xr3:uid="{180E8D7C-6558-4EF1-BA76-404C8895896B}" name="Product"/>
    <tableColumn id="10" xr3:uid="{131F7002-39BA-4456-BBA2-0CF463D92B24}" name="Units Sold"/>
    <tableColumn id="11" xr3:uid="{D5EEF3B8-C115-4783-840F-25E8959303CC}" name="Unit Price" dataDxfId="4"/>
    <tableColumn id="12" xr3:uid="{A88AAB5A-8F27-42C0-95C5-D8DC4C3EC6CA}" name="Discount %" dataDxfId="3"/>
    <tableColumn id="13" xr3:uid="{5137B69C-7599-4AD8-A499-42D9608C3A93}" name="Sales Amount" dataDxfId="2"/>
    <tableColumn id="14" xr3:uid="{5477FE8A-8EC4-44B1-9D55-0EE608EEE30B}" name="Target" dataDxfId="1"/>
    <tableColumn id="15" xr3:uid="{E8E8DE1A-8E93-49E5-8A45-A116B3DC3B25}" name="Target Achievement %" dataDxfId="0"/>
    <tableColumn id="16" xr3:uid="{86998F23-B126-4DA2-B667-D01FC41A3BFE}" name="Customer 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9871-FC8E-477C-B344-C8347773F388}">
  <dimension ref="B1:AP52"/>
  <sheetViews>
    <sheetView showGridLines="0" tabSelected="1" zoomScale="65" zoomScaleNormal="85" workbookViewId="0">
      <selection activeCell="O25" sqref="O25"/>
    </sheetView>
  </sheetViews>
  <sheetFormatPr defaultRowHeight="14.4" x14ac:dyDescent="0.3"/>
  <sheetData>
    <row r="1" spans="2:42" ht="20.399999999999999" x14ac:dyDescent="0.35">
      <c r="B1" s="6"/>
      <c r="C1" s="6"/>
      <c r="D1" s="6"/>
      <c r="E1" s="6"/>
      <c r="F1" s="6"/>
      <c r="G1" s="6"/>
      <c r="H1" s="6"/>
      <c r="I1" s="7"/>
      <c r="J1" s="6"/>
      <c r="K1" s="6"/>
      <c r="L1" s="6"/>
      <c r="M1" s="6"/>
      <c r="N1" s="6"/>
      <c r="O1" s="6"/>
      <c r="P1" s="6"/>
      <c r="Q1" s="6"/>
      <c r="R1" s="6"/>
      <c r="S1" s="6"/>
      <c r="T1" s="6"/>
      <c r="U1" s="6"/>
      <c r="V1" s="6"/>
      <c r="W1" s="6"/>
      <c r="X1" s="6"/>
      <c r="Y1" s="6"/>
      <c r="Z1" s="6"/>
      <c r="AA1" s="6"/>
      <c r="AB1" s="6"/>
      <c r="AC1" s="6"/>
      <c r="AD1" s="6"/>
      <c r="AE1" s="6"/>
      <c r="AF1" s="6"/>
      <c r="AG1" s="6"/>
      <c r="AH1" s="6"/>
      <c r="AI1" s="6"/>
      <c r="AJ1" s="6"/>
      <c r="AK1" s="14" t="s">
        <v>233</v>
      </c>
      <c r="AL1" s="5"/>
      <c r="AM1" s="5"/>
      <c r="AN1" s="5"/>
      <c r="AO1" s="5"/>
      <c r="AP1" s="5"/>
    </row>
    <row r="2" spans="2:42" ht="20.399999999999999" x14ac:dyDescent="0.35">
      <c r="B2" s="6"/>
      <c r="C2" s="6"/>
      <c r="D2" s="6"/>
      <c r="E2" s="6"/>
      <c r="F2" s="6"/>
      <c r="G2" s="6"/>
      <c r="H2" s="6"/>
      <c r="I2" s="8"/>
      <c r="J2" s="6"/>
      <c r="K2" s="6"/>
      <c r="L2" s="6"/>
      <c r="M2" s="6"/>
      <c r="N2" s="6"/>
      <c r="O2" s="6"/>
      <c r="P2" s="6"/>
      <c r="Q2" s="6"/>
      <c r="R2" s="8" t="s">
        <v>227</v>
      </c>
      <c r="S2" s="6"/>
      <c r="T2" s="6"/>
      <c r="U2" s="6"/>
      <c r="V2" s="6"/>
      <c r="W2" s="6"/>
      <c r="X2" s="6"/>
      <c r="Y2" s="6"/>
      <c r="Z2" s="6"/>
      <c r="AA2" s="6"/>
      <c r="AB2" s="6"/>
      <c r="AC2" s="6"/>
      <c r="AD2" s="6"/>
      <c r="AE2" s="6"/>
      <c r="AF2" s="6"/>
      <c r="AG2" s="6"/>
      <c r="AH2" s="6"/>
      <c r="AI2" s="6"/>
      <c r="AJ2" s="6"/>
      <c r="AK2" s="6"/>
      <c r="AL2" s="5"/>
      <c r="AM2" s="5"/>
      <c r="AN2" s="5"/>
      <c r="AO2" s="5"/>
      <c r="AP2" s="5"/>
    </row>
    <row r="3" spans="2:42" x14ac:dyDescent="0.3">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5"/>
      <c r="AM3" s="5"/>
      <c r="AN3" s="5"/>
      <c r="AO3" s="5"/>
      <c r="AP3" s="5"/>
    </row>
    <row r="4" spans="2:42" ht="17.399999999999999" x14ac:dyDescent="0.3">
      <c r="B4" s="6"/>
      <c r="C4" s="6"/>
      <c r="D4" s="6"/>
      <c r="E4" s="6"/>
      <c r="F4" s="6"/>
      <c r="G4" s="6"/>
      <c r="H4" s="6"/>
      <c r="I4" s="6"/>
      <c r="J4" s="9"/>
      <c r="K4" s="6"/>
      <c r="L4" s="6"/>
      <c r="M4" s="6"/>
      <c r="N4" s="6"/>
      <c r="O4" s="6"/>
      <c r="P4" s="6"/>
      <c r="Q4" s="6"/>
      <c r="R4" s="6"/>
      <c r="S4" s="9" t="s">
        <v>229</v>
      </c>
      <c r="T4" s="6"/>
      <c r="U4" s="6"/>
      <c r="V4" s="6"/>
      <c r="W4" s="6"/>
      <c r="X4" s="6"/>
      <c r="Y4" s="6"/>
      <c r="Z4" s="6"/>
      <c r="AA4" s="6"/>
      <c r="AB4" s="6"/>
      <c r="AC4" s="6"/>
      <c r="AD4" s="6"/>
      <c r="AE4" s="6"/>
      <c r="AF4" s="6"/>
      <c r="AG4" s="6"/>
      <c r="AH4" s="6"/>
      <c r="AI4" s="6"/>
      <c r="AJ4" s="6"/>
      <c r="AK4" s="6"/>
      <c r="AL4" s="5"/>
      <c r="AM4" s="5"/>
      <c r="AN4" s="5"/>
      <c r="AO4" s="5"/>
      <c r="AP4" s="5"/>
    </row>
    <row r="5" spans="2:42" x14ac:dyDescent="0.3">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5"/>
      <c r="AM5" s="5"/>
      <c r="AN5" s="5"/>
      <c r="AO5" s="5"/>
      <c r="AP5" s="5"/>
    </row>
    <row r="6" spans="2:42" x14ac:dyDescent="0.3">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5"/>
      <c r="AM6" s="5"/>
      <c r="AN6" s="5"/>
      <c r="AO6" s="5"/>
      <c r="AP6" s="5"/>
    </row>
    <row r="7" spans="2:42" x14ac:dyDescent="0.3">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5"/>
      <c r="AM7" s="5"/>
      <c r="AN7" s="5"/>
      <c r="AO7" s="5"/>
      <c r="AP7" s="5"/>
    </row>
    <row r="8" spans="2:42" x14ac:dyDescent="0.3">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5"/>
      <c r="AM8" s="5"/>
      <c r="AN8" s="5"/>
      <c r="AO8" s="5"/>
      <c r="AP8" s="5"/>
    </row>
    <row r="9" spans="2:42" x14ac:dyDescent="0.3">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5"/>
      <c r="AM9" s="5"/>
      <c r="AN9" s="5"/>
      <c r="AO9" s="5"/>
      <c r="AP9" s="5"/>
    </row>
    <row r="10" spans="2:42" x14ac:dyDescent="0.3">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5"/>
      <c r="AM10" s="5"/>
      <c r="AN10" s="5"/>
      <c r="AO10" s="5"/>
      <c r="AP10" s="5"/>
    </row>
    <row r="11" spans="2:42" x14ac:dyDescent="0.3">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5"/>
      <c r="AM11" s="5"/>
      <c r="AN11" s="5"/>
      <c r="AO11" s="5"/>
      <c r="AP11" s="5"/>
    </row>
    <row r="12" spans="2:42" x14ac:dyDescent="0.3">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5"/>
      <c r="AM12" s="5"/>
      <c r="AN12" s="5"/>
      <c r="AO12" s="5"/>
      <c r="AP12" s="5"/>
    </row>
    <row r="13" spans="2:42" x14ac:dyDescent="0.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5"/>
      <c r="AM13" s="5"/>
      <c r="AN13" s="5"/>
      <c r="AO13" s="5"/>
      <c r="AP13" s="5"/>
    </row>
    <row r="14" spans="2:42" x14ac:dyDescent="0.3">
      <c r="B14" s="10"/>
      <c r="C14" s="10"/>
      <c r="D14" s="10"/>
      <c r="E14" s="10"/>
      <c r="F14" s="10"/>
      <c r="G14" s="10"/>
      <c r="H14" s="10"/>
      <c r="I14" s="10"/>
      <c r="J14" s="10"/>
      <c r="K14" s="10"/>
      <c r="L14" s="10"/>
      <c r="M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5"/>
      <c r="AM14" s="5"/>
      <c r="AN14" s="5"/>
      <c r="AO14" s="5"/>
      <c r="AP14" s="5"/>
    </row>
    <row r="15" spans="2:42" x14ac:dyDescent="0.3">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5"/>
      <c r="AM15" s="5"/>
      <c r="AN15" s="5"/>
      <c r="AO15" s="5"/>
      <c r="AP15" s="5"/>
    </row>
    <row r="16" spans="2:42" x14ac:dyDescent="0.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5"/>
      <c r="AM16" s="5"/>
      <c r="AN16" s="5"/>
      <c r="AO16" s="5"/>
      <c r="AP16" s="5"/>
    </row>
    <row r="17" spans="2:42" x14ac:dyDescent="0.3">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5"/>
      <c r="AM17" s="5"/>
      <c r="AN17" s="5"/>
      <c r="AO17" s="5"/>
      <c r="AP17" s="5"/>
    </row>
    <row r="18" spans="2:42" x14ac:dyDescent="0.3">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5"/>
      <c r="AM18" s="5"/>
      <c r="AN18" s="5"/>
      <c r="AO18" s="5"/>
      <c r="AP18" s="5"/>
    </row>
    <row r="19" spans="2:42" ht="16.8" customHeight="1" x14ac:dyDescent="0.3">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5"/>
      <c r="AM19" s="5"/>
      <c r="AN19" s="5"/>
      <c r="AO19" s="5"/>
      <c r="AP19" s="5"/>
    </row>
    <row r="20" spans="2:42" ht="25.2" customHeight="1" x14ac:dyDescent="0.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5"/>
      <c r="AM20" s="5"/>
      <c r="AN20" s="5"/>
      <c r="AO20" s="5"/>
      <c r="AP20" s="5"/>
    </row>
    <row r="21" spans="2:42" x14ac:dyDescent="0.3">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5"/>
      <c r="AM21" s="5"/>
      <c r="AN21" s="5"/>
      <c r="AO21" s="5"/>
      <c r="AP21" s="5"/>
    </row>
    <row r="22" spans="2:42" ht="34.799999999999997" customHeight="1" x14ac:dyDescent="0.3">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5"/>
      <c r="AM22" s="5"/>
      <c r="AN22" s="5"/>
      <c r="AO22" s="5"/>
      <c r="AP22" s="5"/>
    </row>
    <row r="23" spans="2:42" ht="27.6" customHeight="1" x14ac:dyDescent="0.3">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5"/>
      <c r="AM23" s="5"/>
      <c r="AN23" s="5"/>
      <c r="AO23" s="5"/>
      <c r="AP23" s="5"/>
    </row>
    <row r="24" spans="2:42" x14ac:dyDescent="0.3">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5"/>
      <c r="AM24" s="5"/>
      <c r="AN24" s="5"/>
      <c r="AO24" s="5"/>
      <c r="AP24" s="5"/>
    </row>
    <row r="25" spans="2:42" ht="24.6" x14ac:dyDescent="0.4">
      <c r="B25" s="10"/>
      <c r="C25" s="10"/>
      <c r="D25" s="11" t="s">
        <v>230</v>
      </c>
      <c r="E25" s="10"/>
      <c r="F25" s="10"/>
      <c r="G25" s="10"/>
      <c r="H25" s="10"/>
      <c r="I25" s="10"/>
      <c r="J25" s="10"/>
      <c r="K25" s="10"/>
      <c r="L25" s="10"/>
      <c r="M25" s="10"/>
      <c r="N25" s="10"/>
      <c r="O25" s="11" t="s">
        <v>234</v>
      </c>
      <c r="P25" s="10"/>
      <c r="Q25" s="10"/>
      <c r="R25" s="10"/>
      <c r="S25" s="10"/>
      <c r="T25" s="10"/>
      <c r="U25" s="10"/>
      <c r="V25" s="10"/>
      <c r="W25" s="10"/>
      <c r="X25" s="10"/>
      <c r="Y25" s="11" t="s">
        <v>228</v>
      </c>
      <c r="Z25" s="10"/>
      <c r="AA25" s="10"/>
      <c r="AB25" s="10"/>
      <c r="AC25" s="10"/>
      <c r="AD25" s="10"/>
      <c r="AE25" s="10"/>
      <c r="AF25" s="10"/>
      <c r="AG25" s="10"/>
      <c r="AH25" s="10"/>
      <c r="AI25" s="10"/>
      <c r="AJ25" s="10"/>
      <c r="AK25" s="10"/>
      <c r="AL25" s="5"/>
      <c r="AM25" s="5"/>
      <c r="AN25" s="5"/>
      <c r="AO25" s="5"/>
      <c r="AP25" s="5"/>
    </row>
    <row r="26" spans="2:42" x14ac:dyDescent="0.3">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5"/>
      <c r="AM26" s="5"/>
      <c r="AN26" s="5"/>
      <c r="AO26" s="5"/>
      <c r="AP26" s="5"/>
    </row>
    <row r="27" spans="2:42" x14ac:dyDescent="0.3">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5"/>
      <c r="AM27" s="5"/>
      <c r="AN27" s="5"/>
      <c r="AO27" s="5"/>
      <c r="AP27" s="5"/>
    </row>
    <row r="28" spans="2:42" x14ac:dyDescent="0.3">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5"/>
      <c r="AM28" s="5"/>
      <c r="AN28" s="5"/>
      <c r="AO28" s="5"/>
      <c r="AP28" s="5"/>
    </row>
    <row r="29" spans="2:42" x14ac:dyDescent="0.3">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5"/>
      <c r="AM29" s="5"/>
      <c r="AN29" s="5"/>
      <c r="AO29" s="5"/>
      <c r="AP29" s="5"/>
    </row>
    <row r="30" spans="2:42" x14ac:dyDescent="0.3">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5"/>
      <c r="AM30" s="5"/>
      <c r="AN30" s="5"/>
      <c r="AO30" s="5"/>
      <c r="AP30" s="5"/>
    </row>
    <row r="31" spans="2:42" x14ac:dyDescent="0.3">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5"/>
      <c r="AM31" s="5"/>
      <c r="AN31" s="5"/>
      <c r="AO31" s="5"/>
      <c r="AP31" s="5"/>
    </row>
    <row r="32" spans="2:42" x14ac:dyDescent="0.3">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5"/>
      <c r="AM32" s="5"/>
      <c r="AN32" s="5"/>
      <c r="AO32" s="5"/>
      <c r="AP32" s="5"/>
    </row>
    <row r="33" spans="2:42" x14ac:dyDescent="0.3">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5"/>
      <c r="AM33" s="5"/>
      <c r="AN33" s="5"/>
      <c r="AO33" s="5"/>
      <c r="AP33" s="5"/>
    </row>
    <row r="34" spans="2:42" x14ac:dyDescent="0.3">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5"/>
      <c r="AM34" s="5"/>
      <c r="AN34" s="5"/>
      <c r="AO34" s="5"/>
      <c r="AP34" s="5"/>
    </row>
    <row r="35" spans="2:42" x14ac:dyDescent="0.3">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5"/>
      <c r="AM35" s="5"/>
      <c r="AN35" s="5"/>
      <c r="AO35" s="5"/>
      <c r="AP35" s="5"/>
    </row>
    <row r="36" spans="2:42" ht="73.2" customHeight="1" x14ac:dyDescent="0.3">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5"/>
      <c r="AM36" s="5"/>
      <c r="AN36" s="5"/>
      <c r="AO36" s="5"/>
      <c r="AP36" s="5"/>
    </row>
    <row r="37" spans="2:42" x14ac:dyDescent="0.3">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5"/>
      <c r="AM37" s="5"/>
      <c r="AN37" s="5"/>
      <c r="AO37" s="5"/>
      <c r="AP37" s="5"/>
    </row>
    <row r="38" spans="2:42" ht="24.6" x14ac:dyDescent="0.4">
      <c r="B38" s="10"/>
      <c r="C38" s="10"/>
      <c r="D38" s="10"/>
      <c r="E38" s="11" t="s">
        <v>232</v>
      </c>
      <c r="F38" s="10"/>
      <c r="G38" s="10"/>
      <c r="H38" s="10"/>
      <c r="I38" s="10"/>
      <c r="J38" s="10"/>
      <c r="K38" s="10"/>
      <c r="L38" s="10"/>
      <c r="M38" s="10"/>
      <c r="N38" s="10"/>
      <c r="O38" s="10"/>
      <c r="P38" s="10"/>
      <c r="Q38" s="10"/>
      <c r="R38" s="11" t="s">
        <v>231</v>
      </c>
      <c r="S38" s="10"/>
      <c r="T38" s="10"/>
      <c r="U38" s="10"/>
      <c r="V38" s="10"/>
      <c r="W38" s="10"/>
      <c r="X38" s="10"/>
      <c r="Y38" s="10"/>
      <c r="Z38" s="10"/>
      <c r="AA38" s="10"/>
      <c r="AB38" s="10"/>
      <c r="AC38" s="10"/>
      <c r="AD38" s="10"/>
      <c r="AE38" s="10"/>
      <c r="AF38" s="10"/>
      <c r="AG38" s="10"/>
      <c r="AH38" s="10"/>
      <c r="AI38" s="10"/>
      <c r="AJ38" s="10"/>
      <c r="AK38" s="10"/>
      <c r="AL38" s="5"/>
      <c r="AM38" s="5"/>
      <c r="AN38" s="5"/>
      <c r="AO38" s="5"/>
      <c r="AP38" s="5"/>
    </row>
    <row r="39" spans="2:42" x14ac:dyDescent="0.3">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5"/>
      <c r="AM39" s="5"/>
      <c r="AN39" s="5"/>
      <c r="AO39" s="5"/>
      <c r="AP39" s="5"/>
    </row>
    <row r="40" spans="2:42" x14ac:dyDescent="0.3">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5"/>
      <c r="AM40" s="5"/>
      <c r="AN40" s="5"/>
      <c r="AO40" s="5"/>
      <c r="AP40" s="5"/>
    </row>
    <row r="41" spans="2:42" x14ac:dyDescent="0.3">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5"/>
      <c r="AM41" s="5"/>
      <c r="AN41" s="5"/>
      <c r="AO41" s="5"/>
      <c r="AP41" s="5"/>
    </row>
    <row r="42" spans="2:42" x14ac:dyDescent="0.3">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5"/>
      <c r="AM42" s="5"/>
      <c r="AN42" s="5"/>
      <c r="AO42" s="5"/>
      <c r="AP42" s="5"/>
    </row>
    <row r="43" spans="2:42" x14ac:dyDescent="0.3">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5"/>
      <c r="AM43" s="5"/>
      <c r="AN43" s="5"/>
      <c r="AO43" s="5"/>
      <c r="AP43" s="5"/>
    </row>
    <row r="44" spans="2:42" x14ac:dyDescent="0.3">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5"/>
      <c r="AM44" s="5"/>
      <c r="AN44" s="5"/>
      <c r="AO44" s="5"/>
      <c r="AP44" s="5"/>
    </row>
    <row r="45" spans="2:42" x14ac:dyDescent="0.3">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5"/>
      <c r="AM45" s="5"/>
      <c r="AN45" s="5"/>
      <c r="AO45" s="5"/>
      <c r="AP45" s="5"/>
    </row>
    <row r="46" spans="2:42" x14ac:dyDescent="0.3">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5"/>
      <c r="AM46" s="5"/>
      <c r="AN46" s="5"/>
      <c r="AO46" s="5"/>
      <c r="AP46" s="5"/>
    </row>
    <row r="47" spans="2:42" x14ac:dyDescent="0.3">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5"/>
      <c r="AM47" s="5"/>
      <c r="AN47" s="5"/>
      <c r="AO47" s="5"/>
      <c r="AP47" s="5"/>
    </row>
    <row r="48" spans="2:42" x14ac:dyDescent="0.3">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5"/>
      <c r="AM48" s="5"/>
      <c r="AN48" s="5"/>
      <c r="AO48" s="5"/>
      <c r="AP48" s="5"/>
    </row>
    <row r="49" spans="38:42" x14ac:dyDescent="0.3">
      <c r="AL49" s="5"/>
      <c r="AM49" s="5"/>
      <c r="AN49" s="5"/>
      <c r="AO49" s="5"/>
      <c r="AP49" s="5"/>
    </row>
    <row r="50" spans="38:42" x14ac:dyDescent="0.3">
      <c r="AL50" s="5"/>
      <c r="AM50" s="5"/>
      <c r="AN50" s="5"/>
      <c r="AO50" s="5"/>
      <c r="AP50" s="5"/>
    </row>
    <row r="51" spans="38:42" x14ac:dyDescent="0.3">
      <c r="AL51" s="5"/>
      <c r="AM51" s="5"/>
      <c r="AN51" s="5"/>
      <c r="AO51" s="5"/>
      <c r="AP51" s="5"/>
    </row>
    <row r="52" spans="38:42" x14ac:dyDescent="0.3">
      <c r="AL52" s="5"/>
      <c r="AM52" s="5"/>
      <c r="AN52" s="5"/>
      <c r="AO52" s="5"/>
      <c r="AP5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1"/>
  <sheetViews>
    <sheetView zoomScale="92" workbookViewId="0">
      <pane ySplit="1" topLeftCell="A2" activePane="bottomLeft" state="frozen"/>
      <selection pane="bottomLeft" activeCell="U21" sqref="U21"/>
    </sheetView>
  </sheetViews>
  <sheetFormatPr defaultRowHeight="14.4" x14ac:dyDescent="0.3"/>
  <cols>
    <col min="1" max="1" width="10" customWidth="1"/>
    <col min="2" max="2" width="21" customWidth="1"/>
    <col min="3" max="3" width="10" customWidth="1"/>
    <col min="4" max="4" width="8.6640625" customWidth="1"/>
    <col min="5" max="5" width="15" customWidth="1"/>
    <col min="6" max="6" width="13" customWidth="1"/>
    <col min="7" max="7" width="14" customWidth="1"/>
    <col min="8" max="8" width="18" customWidth="1"/>
    <col min="9" max="9" width="19" customWidth="1"/>
    <col min="10" max="11" width="12" customWidth="1"/>
    <col min="12" max="12" width="12.109375" customWidth="1"/>
    <col min="13" max="13" width="14.44140625" customWidth="1"/>
    <col min="14" max="14" width="17.33203125" customWidth="1"/>
    <col min="15" max="15" width="22" customWidth="1"/>
    <col min="16" max="16" width="15.5546875" customWidth="1"/>
    <col min="20" max="20" width="12.77734375" bestFit="1" customWidth="1"/>
  </cols>
  <sheetData>
    <row r="1" spans="1:20"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20" x14ac:dyDescent="0.3">
      <c r="A2" t="s">
        <v>16</v>
      </c>
      <c r="B2" s="1">
        <v>46196</v>
      </c>
      <c r="C2" t="s">
        <v>17</v>
      </c>
      <c r="D2" t="s">
        <v>18</v>
      </c>
      <c r="E2" t="s">
        <v>19</v>
      </c>
      <c r="F2" t="s">
        <v>20</v>
      </c>
      <c r="G2" t="s">
        <v>21</v>
      </c>
      <c r="H2" t="s">
        <v>22</v>
      </c>
      <c r="I2" t="s">
        <v>23</v>
      </c>
      <c r="J2">
        <v>12</v>
      </c>
      <c r="K2" s="2">
        <v>8500</v>
      </c>
      <c r="L2" s="3">
        <v>0</v>
      </c>
      <c r="M2" s="2">
        <v>102000</v>
      </c>
      <c r="N2" s="2">
        <v>112992.02</v>
      </c>
      <c r="O2" s="3">
        <v>0.90269999999999995</v>
      </c>
      <c r="P2" t="s">
        <v>24</v>
      </c>
    </row>
    <row r="3" spans="1:20" x14ac:dyDescent="0.3">
      <c r="A3" t="s">
        <v>25</v>
      </c>
      <c r="B3" s="1">
        <v>46152</v>
      </c>
      <c r="C3" t="s">
        <v>26</v>
      </c>
      <c r="D3" t="s">
        <v>18</v>
      </c>
      <c r="E3" t="s">
        <v>27</v>
      </c>
      <c r="F3" t="s">
        <v>28</v>
      </c>
      <c r="G3" t="s">
        <v>29</v>
      </c>
      <c r="H3" t="s">
        <v>30</v>
      </c>
      <c r="I3" t="s">
        <v>31</v>
      </c>
      <c r="J3">
        <v>2</v>
      </c>
      <c r="K3" s="2">
        <v>55000</v>
      </c>
      <c r="L3" s="3">
        <v>0</v>
      </c>
      <c r="M3" s="2">
        <v>110000</v>
      </c>
      <c r="N3" s="2">
        <v>101917.56</v>
      </c>
      <c r="O3" s="3">
        <v>1.0792999999999999</v>
      </c>
      <c r="P3" t="s">
        <v>24</v>
      </c>
    </row>
    <row r="4" spans="1:20" x14ac:dyDescent="0.3">
      <c r="A4" t="s">
        <v>32</v>
      </c>
      <c r="B4" s="1">
        <v>46173</v>
      </c>
      <c r="C4" t="s">
        <v>26</v>
      </c>
      <c r="D4" t="s">
        <v>18</v>
      </c>
      <c r="E4" t="s">
        <v>27</v>
      </c>
      <c r="F4" t="s">
        <v>28</v>
      </c>
      <c r="G4" t="s">
        <v>33</v>
      </c>
      <c r="H4" t="s">
        <v>34</v>
      </c>
      <c r="I4" t="s">
        <v>35</v>
      </c>
      <c r="J4">
        <v>25</v>
      </c>
      <c r="K4" s="2">
        <v>3500</v>
      </c>
      <c r="L4" s="3">
        <v>0.1</v>
      </c>
      <c r="M4" s="2">
        <v>78750</v>
      </c>
      <c r="N4" s="2">
        <v>73013.39</v>
      </c>
      <c r="O4" s="3">
        <v>1.0786</v>
      </c>
      <c r="P4" t="s">
        <v>36</v>
      </c>
    </row>
    <row r="5" spans="1:20" x14ac:dyDescent="0.3">
      <c r="A5" t="s">
        <v>37</v>
      </c>
      <c r="B5" s="1">
        <v>46218</v>
      </c>
      <c r="C5" t="s">
        <v>38</v>
      </c>
      <c r="D5" t="s">
        <v>18</v>
      </c>
      <c r="E5" t="s">
        <v>19</v>
      </c>
      <c r="F5" t="s">
        <v>20</v>
      </c>
      <c r="G5" t="s">
        <v>29</v>
      </c>
      <c r="H5" t="s">
        <v>22</v>
      </c>
      <c r="I5" t="s">
        <v>39</v>
      </c>
      <c r="J5">
        <v>6</v>
      </c>
      <c r="K5" s="2">
        <v>14000</v>
      </c>
      <c r="L5" s="3">
        <v>0</v>
      </c>
      <c r="M5" s="2">
        <v>84000</v>
      </c>
      <c r="N5" s="2">
        <v>77730.22</v>
      </c>
      <c r="O5" s="3">
        <v>1.0807</v>
      </c>
      <c r="P5" t="s">
        <v>36</v>
      </c>
    </row>
    <row r="6" spans="1:20" x14ac:dyDescent="0.3">
      <c r="A6" t="s">
        <v>40</v>
      </c>
      <c r="B6" s="1">
        <v>46229</v>
      </c>
      <c r="C6" t="s">
        <v>38</v>
      </c>
      <c r="D6" t="s">
        <v>18</v>
      </c>
      <c r="E6" t="s">
        <v>19</v>
      </c>
      <c r="F6" t="s">
        <v>20</v>
      </c>
      <c r="G6" t="s">
        <v>29</v>
      </c>
      <c r="H6" t="s">
        <v>30</v>
      </c>
      <c r="I6" t="s">
        <v>41</v>
      </c>
      <c r="J6">
        <v>7</v>
      </c>
      <c r="K6" s="2">
        <v>18000</v>
      </c>
      <c r="L6" s="3">
        <v>0.05</v>
      </c>
      <c r="M6" s="2">
        <v>119700</v>
      </c>
      <c r="N6" s="2">
        <v>127038.1</v>
      </c>
      <c r="O6" s="3">
        <v>0.94220000000000004</v>
      </c>
      <c r="P6" t="s">
        <v>42</v>
      </c>
    </row>
    <row r="7" spans="1:20" x14ac:dyDescent="0.3">
      <c r="A7" t="s">
        <v>43</v>
      </c>
      <c r="B7" s="1">
        <v>46181</v>
      </c>
      <c r="C7" t="s">
        <v>17</v>
      </c>
      <c r="D7" t="s">
        <v>44</v>
      </c>
      <c r="E7" t="s">
        <v>45</v>
      </c>
      <c r="F7" t="s">
        <v>46</v>
      </c>
      <c r="G7" t="s">
        <v>47</v>
      </c>
      <c r="H7" t="s">
        <v>48</v>
      </c>
      <c r="I7" t="s">
        <v>49</v>
      </c>
      <c r="J7">
        <v>7</v>
      </c>
      <c r="K7" s="2">
        <v>1200</v>
      </c>
      <c r="L7" s="3">
        <v>0.05</v>
      </c>
      <c r="M7" s="2">
        <v>7980</v>
      </c>
      <c r="N7" s="2">
        <v>9099.5300000000007</v>
      </c>
      <c r="O7" s="3">
        <v>0.877</v>
      </c>
      <c r="P7" t="s">
        <v>36</v>
      </c>
    </row>
    <row r="8" spans="1:20" x14ac:dyDescent="0.3">
      <c r="A8" t="s">
        <v>50</v>
      </c>
      <c r="B8" s="1">
        <v>46043</v>
      </c>
      <c r="C8" t="s">
        <v>51</v>
      </c>
      <c r="D8" t="s">
        <v>52</v>
      </c>
      <c r="E8" t="s">
        <v>53</v>
      </c>
      <c r="F8" t="s">
        <v>54</v>
      </c>
      <c r="G8" t="s">
        <v>55</v>
      </c>
      <c r="H8" t="s">
        <v>30</v>
      </c>
      <c r="I8" t="s">
        <v>31</v>
      </c>
      <c r="J8">
        <v>12</v>
      </c>
      <c r="K8" s="2">
        <v>55000</v>
      </c>
      <c r="L8" s="3">
        <v>0</v>
      </c>
      <c r="M8" s="2">
        <v>660000</v>
      </c>
      <c r="N8" s="2">
        <v>739578.79</v>
      </c>
      <c r="O8" s="3">
        <v>0.89239999999999997</v>
      </c>
      <c r="P8" t="s">
        <v>42</v>
      </c>
    </row>
    <row r="9" spans="1:20" x14ac:dyDescent="0.3">
      <c r="A9" t="s">
        <v>56</v>
      </c>
      <c r="B9" s="1">
        <v>46113</v>
      </c>
      <c r="C9" t="s">
        <v>57</v>
      </c>
      <c r="D9" t="s">
        <v>18</v>
      </c>
      <c r="E9" t="s">
        <v>58</v>
      </c>
      <c r="F9" t="s">
        <v>59</v>
      </c>
      <c r="G9" t="s">
        <v>21</v>
      </c>
      <c r="H9" t="s">
        <v>48</v>
      </c>
      <c r="I9" t="s">
        <v>60</v>
      </c>
      <c r="J9">
        <v>25</v>
      </c>
      <c r="K9" s="2">
        <v>2500</v>
      </c>
      <c r="L9" s="3">
        <v>0.05</v>
      </c>
      <c r="M9" s="2">
        <v>59375</v>
      </c>
      <c r="N9" s="2">
        <v>53848.91</v>
      </c>
      <c r="O9" s="3">
        <v>1.1026</v>
      </c>
      <c r="P9" t="s">
        <v>42</v>
      </c>
    </row>
    <row r="10" spans="1:20" x14ac:dyDescent="0.3">
      <c r="A10" t="s">
        <v>61</v>
      </c>
      <c r="B10" s="1">
        <v>46085</v>
      </c>
      <c r="C10" t="s">
        <v>62</v>
      </c>
      <c r="D10" t="s">
        <v>63</v>
      </c>
      <c r="E10" t="s">
        <v>64</v>
      </c>
      <c r="F10" t="s">
        <v>65</v>
      </c>
      <c r="G10" t="s">
        <v>66</v>
      </c>
      <c r="H10" t="s">
        <v>34</v>
      </c>
      <c r="I10" t="s">
        <v>67</v>
      </c>
      <c r="J10">
        <v>25</v>
      </c>
      <c r="K10" s="2">
        <v>1500</v>
      </c>
      <c r="L10" s="3">
        <v>0</v>
      </c>
      <c r="M10" s="2">
        <v>37500</v>
      </c>
      <c r="N10" s="2">
        <v>38885.589999999997</v>
      </c>
      <c r="O10" s="3">
        <v>0.96440000000000003</v>
      </c>
      <c r="P10" t="s">
        <v>42</v>
      </c>
    </row>
    <row r="11" spans="1:20" x14ac:dyDescent="0.3">
      <c r="A11" t="s">
        <v>68</v>
      </c>
      <c r="B11" s="1">
        <v>46238</v>
      </c>
      <c r="C11" t="s">
        <v>69</v>
      </c>
      <c r="D11" t="s">
        <v>44</v>
      </c>
      <c r="E11" t="s">
        <v>70</v>
      </c>
      <c r="F11" t="s">
        <v>71</v>
      </c>
      <c r="G11" t="s">
        <v>72</v>
      </c>
      <c r="H11" t="s">
        <v>34</v>
      </c>
      <c r="I11" t="s">
        <v>73</v>
      </c>
      <c r="J11">
        <v>27</v>
      </c>
      <c r="K11" s="2">
        <v>2800</v>
      </c>
      <c r="L11" s="3">
        <v>0</v>
      </c>
      <c r="M11" s="2">
        <v>75600</v>
      </c>
      <c r="N11" s="2">
        <v>82374.89</v>
      </c>
      <c r="O11" s="3">
        <v>0.91779999999999995</v>
      </c>
      <c r="P11" t="s">
        <v>42</v>
      </c>
    </row>
    <row r="12" spans="1:20" x14ac:dyDescent="0.3">
      <c r="A12" t="s">
        <v>74</v>
      </c>
      <c r="B12" s="1">
        <v>46264</v>
      </c>
      <c r="C12" t="s">
        <v>69</v>
      </c>
      <c r="D12" t="s">
        <v>52</v>
      </c>
      <c r="E12" t="s">
        <v>75</v>
      </c>
      <c r="F12" t="s">
        <v>76</v>
      </c>
      <c r="G12" t="s">
        <v>77</v>
      </c>
      <c r="H12" t="s">
        <v>48</v>
      </c>
      <c r="I12" t="s">
        <v>49</v>
      </c>
      <c r="J12">
        <v>13</v>
      </c>
      <c r="K12" s="2">
        <v>1200</v>
      </c>
      <c r="L12" s="3">
        <v>0</v>
      </c>
      <c r="M12" s="2">
        <v>15600</v>
      </c>
      <c r="N12" s="2">
        <v>14411.97</v>
      </c>
      <c r="O12" s="3">
        <v>1.0824</v>
      </c>
      <c r="P12" t="s">
        <v>24</v>
      </c>
    </row>
    <row r="13" spans="1:20" x14ac:dyDescent="0.3">
      <c r="A13" t="s">
        <v>78</v>
      </c>
      <c r="B13" s="1">
        <v>46058</v>
      </c>
      <c r="C13" t="s">
        <v>79</v>
      </c>
      <c r="D13" t="s">
        <v>63</v>
      </c>
      <c r="E13" t="s">
        <v>80</v>
      </c>
      <c r="F13" t="s">
        <v>81</v>
      </c>
      <c r="G13" t="s">
        <v>82</v>
      </c>
      <c r="H13" t="s">
        <v>48</v>
      </c>
      <c r="I13" t="s">
        <v>49</v>
      </c>
      <c r="J13">
        <v>25</v>
      </c>
      <c r="K13" s="2">
        <v>1200</v>
      </c>
      <c r="L13" s="3">
        <v>0.1</v>
      </c>
      <c r="M13" s="2">
        <v>27000</v>
      </c>
      <c r="N13" s="2">
        <v>24300.14</v>
      </c>
      <c r="O13" s="3">
        <v>1.1111</v>
      </c>
      <c r="P13" t="s">
        <v>42</v>
      </c>
    </row>
    <row r="14" spans="1:20" x14ac:dyDescent="0.3">
      <c r="A14" t="s">
        <v>83</v>
      </c>
      <c r="B14" s="1">
        <v>46058</v>
      </c>
      <c r="C14" t="s">
        <v>79</v>
      </c>
      <c r="D14" t="s">
        <v>63</v>
      </c>
      <c r="E14" t="s">
        <v>64</v>
      </c>
      <c r="F14" t="s">
        <v>65</v>
      </c>
      <c r="G14" t="s">
        <v>82</v>
      </c>
      <c r="H14" t="s">
        <v>34</v>
      </c>
      <c r="I14" t="s">
        <v>67</v>
      </c>
      <c r="J14">
        <v>17</v>
      </c>
      <c r="K14" s="2">
        <v>1500</v>
      </c>
      <c r="L14" s="3">
        <v>0.05</v>
      </c>
      <c r="M14" s="2">
        <v>24225</v>
      </c>
      <c r="N14" s="2">
        <v>22450.82</v>
      </c>
      <c r="O14" s="3">
        <v>1.079</v>
      </c>
      <c r="P14" t="s">
        <v>24</v>
      </c>
      <c r="T14" s="12"/>
    </row>
    <row r="15" spans="1:20" x14ac:dyDescent="0.3">
      <c r="A15" t="s">
        <v>84</v>
      </c>
      <c r="B15" s="1">
        <v>46131</v>
      </c>
      <c r="C15" t="s">
        <v>57</v>
      </c>
      <c r="D15" t="s">
        <v>44</v>
      </c>
      <c r="E15" t="s">
        <v>85</v>
      </c>
      <c r="F15" t="s">
        <v>86</v>
      </c>
      <c r="G15" t="s">
        <v>47</v>
      </c>
      <c r="H15" t="s">
        <v>30</v>
      </c>
      <c r="I15" t="s">
        <v>41</v>
      </c>
      <c r="J15">
        <v>4</v>
      </c>
      <c r="K15" s="2">
        <v>18000</v>
      </c>
      <c r="L15" s="3">
        <v>0</v>
      </c>
      <c r="M15" s="2">
        <v>72000</v>
      </c>
      <c r="N15" s="2">
        <v>81160.399999999994</v>
      </c>
      <c r="O15" s="3">
        <v>0.8871</v>
      </c>
      <c r="P15" t="s">
        <v>24</v>
      </c>
    </row>
    <row r="16" spans="1:20" x14ac:dyDescent="0.3">
      <c r="A16" t="s">
        <v>87</v>
      </c>
      <c r="B16" s="1">
        <v>46243</v>
      </c>
      <c r="C16" t="s">
        <v>69</v>
      </c>
      <c r="D16" t="s">
        <v>18</v>
      </c>
      <c r="E16" t="s">
        <v>58</v>
      </c>
      <c r="F16" t="s">
        <v>59</v>
      </c>
      <c r="G16" t="s">
        <v>29</v>
      </c>
      <c r="H16" t="s">
        <v>34</v>
      </c>
      <c r="I16" t="s">
        <v>67</v>
      </c>
      <c r="J16">
        <v>19</v>
      </c>
      <c r="K16" s="2">
        <v>1500</v>
      </c>
      <c r="L16" s="3">
        <v>0.05</v>
      </c>
      <c r="M16" s="2">
        <v>27075</v>
      </c>
      <c r="N16" s="2">
        <v>32215.93</v>
      </c>
      <c r="O16" s="3">
        <v>0.84040000000000004</v>
      </c>
      <c r="P16" t="s">
        <v>42</v>
      </c>
    </row>
    <row r="17" spans="1:19" x14ac:dyDescent="0.3">
      <c r="A17" t="s">
        <v>88</v>
      </c>
      <c r="B17" s="1">
        <v>46063</v>
      </c>
      <c r="C17" t="s">
        <v>79</v>
      </c>
      <c r="D17" t="s">
        <v>18</v>
      </c>
      <c r="E17" t="s">
        <v>27</v>
      </c>
      <c r="F17" t="s">
        <v>28</v>
      </c>
      <c r="G17" t="s">
        <v>21</v>
      </c>
      <c r="H17" t="s">
        <v>34</v>
      </c>
      <c r="I17" t="s">
        <v>73</v>
      </c>
      <c r="J17">
        <v>15</v>
      </c>
      <c r="K17" s="2">
        <v>2800</v>
      </c>
      <c r="L17" s="3">
        <v>0</v>
      </c>
      <c r="M17" s="2">
        <v>42000</v>
      </c>
      <c r="N17" s="2">
        <v>40014.449999999997</v>
      </c>
      <c r="O17" s="3">
        <v>1.0496000000000001</v>
      </c>
      <c r="P17" t="s">
        <v>36</v>
      </c>
    </row>
    <row r="18" spans="1:19" x14ac:dyDescent="0.3">
      <c r="A18" t="s">
        <v>89</v>
      </c>
      <c r="B18" s="1">
        <v>46050</v>
      </c>
      <c r="C18" t="s">
        <v>51</v>
      </c>
      <c r="D18" t="s">
        <v>18</v>
      </c>
      <c r="E18" t="s">
        <v>27</v>
      </c>
      <c r="F18" t="s">
        <v>28</v>
      </c>
      <c r="G18" t="s">
        <v>21</v>
      </c>
      <c r="H18" t="s">
        <v>48</v>
      </c>
      <c r="I18" t="s">
        <v>90</v>
      </c>
      <c r="J18">
        <v>29</v>
      </c>
      <c r="K18" s="2">
        <v>1800</v>
      </c>
      <c r="L18" s="3">
        <v>0</v>
      </c>
      <c r="M18" s="2">
        <v>52200</v>
      </c>
      <c r="N18" s="2">
        <v>53645.34</v>
      </c>
      <c r="O18" s="3">
        <v>0.97309999999999997</v>
      </c>
      <c r="P18" t="s">
        <v>24</v>
      </c>
    </row>
    <row r="19" spans="1:19" x14ac:dyDescent="0.3">
      <c r="A19" t="s">
        <v>91</v>
      </c>
      <c r="B19" s="1">
        <v>46222</v>
      </c>
      <c r="C19" t="s">
        <v>38</v>
      </c>
      <c r="D19" t="s">
        <v>63</v>
      </c>
      <c r="E19" t="s">
        <v>64</v>
      </c>
      <c r="F19" t="s">
        <v>65</v>
      </c>
      <c r="G19" t="s">
        <v>92</v>
      </c>
      <c r="H19" t="s">
        <v>30</v>
      </c>
      <c r="I19" t="s">
        <v>93</v>
      </c>
      <c r="J19">
        <v>7</v>
      </c>
      <c r="K19" s="2">
        <v>15000</v>
      </c>
      <c r="L19" s="3">
        <v>0</v>
      </c>
      <c r="M19" s="2">
        <v>105000</v>
      </c>
      <c r="N19" s="2">
        <v>109072.18</v>
      </c>
      <c r="O19" s="3">
        <v>0.9627</v>
      </c>
      <c r="P19" t="s">
        <v>24</v>
      </c>
    </row>
    <row r="20" spans="1:19" x14ac:dyDescent="0.3">
      <c r="A20" t="s">
        <v>94</v>
      </c>
      <c r="B20" s="1">
        <v>46247</v>
      </c>
      <c r="C20" t="s">
        <v>69</v>
      </c>
      <c r="D20" t="s">
        <v>18</v>
      </c>
      <c r="E20" t="s">
        <v>27</v>
      </c>
      <c r="F20" t="s">
        <v>28</v>
      </c>
      <c r="G20" t="s">
        <v>21</v>
      </c>
      <c r="H20" t="s">
        <v>48</v>
      </c>
      <c r="I20" t="s">
        <v>60</v>
      </c>
      <c r="J20">
        <v>5</v>
      </c>
      <c r="K20" s="2">
        <v>2500</v>
      </c>
      <c r="L20" s="3">
        <v>0</v>
      </c>
      <c r="M20" s="2">
        <v>12500</v>
      </c>
      <c r="N20" s="2">
        <v>14689.81</v>
      </c>
      <c r="O20" s="3">
        <v>0.85089999999999999</v>
      </c>
      <c r="P20" t="s">
        <v>36</v>
      </c>
    </row>
    <row r="21" spans="1:19" x14ac:dyDescent="0.3">
      <c r="A21" t="s">
        <v>95</v>
      </c>
      <c r="B21" s="1">
        <v>46231</v>
      </c>
      <c r="C21" t="s">
        <v>38</v>
      </c>
      <c r="D21" t="s">
        <v>52</v>
      </c>
      <c r="E21" t="s">
        <v>75</v>
      </c>
      <c r="F21" t="s">
        <v>76</v>
      </c>
      <c r="G21" t="s">
        <v>96</v>
      </c>
      <c r="H21" t="s">
        <v>34</v>
      </c>
      <c r="I21" t="s">
        <v>67</v>
      </c>
      <c r="J21">
        <v>7</v>
      </c>
      <c r="K21" s="2">
        <v>1500</v>
      </c>
      <c r="L21" s="3">
        <v>0</v>
      </c>
      <c r="M21" s="2">
        <v>10500</v>
      </c>
      <c r="N21" s="2">
        <v>11614.76</v>
      </c>
      <c r="O21" s="3">
        <v>0.90400000000000003</v>
      </c>
      <c r="P21" t="s">
        <v>42</v>
      </c>
    </row>
    <row r="22" spans="1:19" ht="18" x14ac:dyDescent="0.35">
      <c r="A22" t="s">
        <v>97</v>
      </c>
      <c r="B22" s="1">
        <v>46178</v>
      </c>
      <c r="C22" t="s">
        <v>17</v>
      </c>
      <c r="D22" t="s">
        <v>52</v>
      </c>
      <c r="E22" t="s">
        <v>75</v>
      </c>
      <c r="F22" t="s">
        <v>76</v>
      </c>
      <c r="G22" t="s">
        <v>98</v>
      </c>
      <c r="H22" t="s">
        <v>48</v>
      </c>
      <c r="I22" t="s">
        <v>90</v>
      </c>
      <c r="J22">
        <v>10</v>
      </c>
      <c r="K22" s="2">
        <v>1800</v>
      </c>
      <c r="L22" s="3">
        <v>0.05</v>
      </c>
      <c r="M22" s="2">
        <v>17100</v>
      </c>
      <c r="N22" s="2">
        <v>17693.13</v>
      </c>
      <c r="O22" s="3">
        <v>0.96650000000000003</v>
      </c>
      <c r="P22" t="s">
        <v>36</v>
      </c>
      <c r="S22" s="13">
        <v>102280.68</v>
      </c>
    </row>
    <row r="23" spans="1:19" x14ac:dyDescent="0.3">
      <c r="A23" t="s">
        <v>99</v>
      </c>
      <c r="B23" s="1">
        <v>46189</v>
      </c>
      <c r="C23" t="s">
        <v>17</v>
      </c>
      <c r="D23" t="s">
        <v>52</v>
      </c>
      <c r="E23" t="s">
        <v>53</v>
      </c>
      <c r="F23" t="s">
        <v>54</v>
      </c>
      <c r="G23" t="s">
        <v>96</v>
      </c>
      <c r="H23" t="s">
        <v>34</v>
      </c>
      <c r="I23" t="s">
        <v>35</v>
      </c>
      <c r="J23">
        <v>14</v>
      </c>
      <c r="K23" s="2">
        <v>3500</v>
      </c>
      <c r="L23" s="3">
        <v>0.1</v>
      </c>
      <c r="M23" s="2">
        <v>44100</v>
      </c>
      <c r="N23" s="2">
        <v>52845.13</v>
      </c>
      <c r="O23" s="3">
        <v>0.83450000000000002</v>
      </c>
      <c r="P23" t="s">
        <v>36</v>
      </c>
    </row>
    <row r="24" spans="1:19" x14ac:dyDescent="0.3">
      <c r="A24" t="s">
        <v>100</v>
      </c>
      <c r="B24" s="1">
        <v>46028</v>
      </c>
      <c r="C24" t="s">
        <v>51</v>
      </c>
      <c r="D24" t="s">
        <v>44</v>
      </c>
      <c r="E24" t="s">
        <v>45</v>
      </c>
      <c r="F24" t="s">
        <v>46</v>
      </c>
      <c r="G24" t="s">
        <v>101</v>
      </c>
      <c r="H24" t="s">
        <v>30</v>
      </c>
      <c r="I24" t="s">
        <v>41</v>
      </c>
      <c r="J24">
        <v>5</v>
      </c>
      <c r="K24" s="2">
        <v>18000</v>
      </c>
      <c r="L24" s="3">
        <v>0</v>
      </c>
      <c r="M24" s="2">
        <v>90000</v>
      </c>
      <c r="N24" s="2">
        <v>78516.820000000007</v>
      </c>
      <c r="O24" s="3">
        <v>1.1463000000000001</v>
      </c>
      <c r="P24" t="s">
        <v>24</v>
      </c>
    </row>
    <row r="25" spans="1:19" x14ac:dyDescent="0.3">
      <c r="A25" t="s">
        <v>102</v>
      </c>
      <c r="B25" s="1">
        <v>46254</v>
      </c>
      <c r="C25" t="s">
        <v>69</v>
      </c>
      <c r="D25" t="s">
        <v>52</v>
      </c>
      <c r="E25" t="s">
        <v>53</v>
      </c>
      <c r="F25" t="s">
        <v>54</v>
      </c>
      <c r="G25" t="s">
        <v>96</v>
      </c>
      <c r="H25" t="s">
        <v>30</v>
      </c>
      <c r="I25" t="s">
        <v>31</v>
      </c>
      <c r="J25">
        <v>3</v>
      </c>
      <c r="K25" s="2">
        <v>55000</v>
      </c>
      <c r="L25" s="3">
        <v>0</v>
      </c>
      <c r="M25" s="2">
        <v>165000</v>
      </c>
      <c r="N25" s="2">
        <v>153471.39000000001</v>
      </c>
      <c r="O25" s="3">
        <v>1.0750999999999999</v>
      </c>
      <c r="P25" t="s">
        <v>42</v>
      </c>
    </row>
    <row r="26" spans="1:19" x14ac:dyDescent="0.3">
      <c r="A26" t="s">
        <v>103</v>
      </c>
      <c r="B26" s="1">
        <v>46056</v>
      </c>
      <c r="C26" t="s">
        <v>79</v>
      </c>
      <c r="D26" t="s">
        <v>63</v>
      </c>
      <c r="E26" t="s">
        <v>80</v>
      </c>
      <c r="F26" t="s">
        <v>81</v>
      </c>
      <c r="G26" t="s">
        <v>92</v>
      </c>
      <c r="H26" t="s">
        <v>22</v>
      </c>
      <c r="I26" t="s">
        <v>104</v>
      </c>
      <c r="J26">
        <v>12</v>
      </c>
      <c r="K26" s="2">
        <v>22000</v>
      </c>
      <c r="L26" s="3">
        <v>0.1</v>
      </c>
      <c r="M26" s="2">
        <v>237600</v>
      </c>
      <c r="N26" s="2">
        <v>219775.93</v>
      </c>
      <c r="O26" s="3">
        <v>1.0810999999999999</v>
      </c>
      <c r="P26" t="s">
        <v>24</v>
      </c>
    </row>
    <row r="27" spans="1:19" x14ac:dyDescent="0.3">
      <c r="A27" t="s">
        <v>105</v>
      </c>
      <c r="B27" s="1">
        <v>46133</v>
      </c>
      <c r="C27" t="s">
        <v>57</v>
      </c>
      <c r="D27" t="s">
        <v>44</v>
      </c>
      <c r="E27" t="s">
        <v>85</v>
      </c>
      <c r="F27" t="s">
        <v>86</v>
      </c>
      <c r="G27" t="s">
        <v>101</v>
      </c>
      <c r="H27" t="s">
        <v>48</v>
      </c>
      <c r="I27" t="s">
        <v>49</v>
      </c>
      <c r="J27">
        <v>11</v>
      </c>
      <c r="K27" s="2">
        <v>1200</v>
      </c>
      <c r="L27" s="3">
        <v>0</v>
      </c>
      <c r="M27" s="2">
        <v>13200</v>
      </c>
      <c r="N27" s="2">
        <v>11667.82</v>
      </c>
      <c r="O27" s="3">
        <v>1.1313</v>
      </c>
      <c r="P27" t="s">
        <v>36</v>
      </c>
    </row>
    <row r="28" spans="1:19" x14ac:dyDescent="0.3">
      <c r="A28" t="s">
        <v>106</v>
      </c>
      <c r="B28" s="1">
        <v>46209</v>
      </c>
      <c r="C28" t="s">
        <v>38</v>
      </c>
      <c r="D28" t="s">
        <v>44</v>
      </c>
      <c r="E28" t="s">
        <v>70</v>
      </c>
      <c r="F28" t="s">
        <v>71</v>
      </c>
      <c r="G28" t="s">
        <v>101</v>
      </c>
      <c r="H28" t="s">
        <v>34</v>
      </c>
      <c r="I28" t="s">
        <v>35</v>
      </c>
      <c r="J28">
        <v>6</v>
      </c>
      <c r="K28" s="2">
        <v>3500</v>
      </c>
      <c r="L28" s="3">
        <v>0</v>
      </c>
      <c r="M28" s="2">
        <v>21000</v>
      </c>
      <c r="N28" s="2">
        <v>18295.5</v>
      </c>
      <c r="O28" s="3">
        <v>1.1477999999999999</v>
      </c>
      <c r="P28" t="s">
        <v>36</v>
      </c>
    </row>
    <row r="29" spans="1:19" x14ac:dyDescent="0.3">
      <c r="A29" t="s">
        <v>107</v>
      </c>
      <c r="B29" s="1">
        <v>46069</v>
      </c>
      <c r="C29" t="s">
        <v>79</v>
      </c>
      <c r="D29" t="s">
        <v>18</v>
      </c>
      <c r="E29" t="s">
        <v>19</v>
      </c>
      <c r="F29" t="s">
        <v>20</v>
      </c>
      <c r="G29" t="s">
        <v>33</v>
      </c>
      <c r="H29" t="s">
        <v>22</v>
      </c>
      <c r="I29" t="s">
        <v>23</v>
      </c>
      <c r="J29">
        <v>22</v>
      </c>
      <c r="K29" s="2">
        <v>8500</v>
      </c>
      <c r="L29" s="3">
        <v>0.1</v>
      </c>
      <c r="M29" s="2">
        <v>168300</v>
      </c>
      <c r="N29" s="2">
        <v>151312.44</v>
      </c>
      <c r="O29" s="3">
        <v>1.1123000000000001</v>
      </c>
      <c r="P29" t="s">
        <v>36</v>
      </c>
    </row>
    <row r="30" spans="1:19" x14ac:dyDescent="0.3">
      <c r="A30" t="s">
        <v>108</v>
      </c>
      <c r="B30" s="1">
        <v>46161</v>
      </c>
      <c r="C30" t="s">
        <v>26</v>
      </c>
      <c r="D30" t="s">
        <v>44</v>
      </c>
      <c r="E30" t="s">
        <v>85</v>
      </c>
      <c r="F30" t="s">
        <v>86</v>
      </c>
      <c r="G30" t="s">
        <v>47</v>
      </c>
      <c r="H30" t="s">
        <v>48</v>
      </c>
      <c r="I30" t="s">
        <v>60</v>
      </c>
      <c r="J30">
        <v>30</v>
      </c>
      <c r="K30" s="2">
        <v>2500</v>
      </c>
      <c r="L30" s="3">
        <v>0</v>
      </c>
      <c r="M30" s="2">
        <v>75000</v>
      </c>
      <c r="N30" s="2">
        <v>65077.94</v>
      </c>
      <c r="O30" s="3">
        <v>1.1525000000000001</v>
      </c>
      <c r="P30" t="s">
        <v>42</v>
      </c>
    </row>
    <row r="31" spans="1:19" x14ac:dyDescent="0.3">
      <c r="A31" t="s">
        <v>109</v>
      </c>
      <c r="B31" s="1">
        <v>46125</v>
      </c>
      <c r="C31" t="s">
        <v>57</v>
      </c>
      <c r="D31" t="s">
        <v>18</v>
      </c>
      <c r="E31" t="s">
        <v>19</v>
      </c>
      <c r="F31" t="s">
        <v>20</v>
      </c>
      <c r="G31" t="s">
        <v>33</v>
      </c>
      <c r="H31" t="s">
        <v>48</v>
      </c>
      <c r="I31" t="s">
        <v>49</v>
      </c>
      <c r="J31">
        <v>20</v>
      </c>
      <c r="K31" s="2">
        <v>1200</v>
      </c>
      <c r="L31" s="3">
        <v>0.1</v>
      </c>
      <c r="M31" s="2">
        <v>21600</v>
      </c>
      <c r="N31" s="2">
        <v>19975.93</v>
      </c>
      <c r="O31" s="3">
        <v>1.0812999999999999</v>
      </c>
      <c r="P31" t="s">
        <v>42</v>
      </c>
    </row>
    <row r="32" spans="1:19" x14ac:dyDescent="0.3">
      <c r="A32" t="s">
        <v>110</v>
      </c>
      <c r="B32" s="1">
        <v>46201</v>
      </c>
      <c r="C32" t="s">
        <v>17</v>
      </c>
      <c r="D32" t="s">
        <v>52</v>
      </c>
      <c r="E32" t="s">
        <v>111</v>
      </c>
      <c r="F32" t="s">
        <v>112</v>
      </c>
      <c r="G32" t="s">
        <v>55</v>
      </c>
      <c r="H32" t="s">
        <v>48</v>
      </c>
      <c r="I32" t="s">
        <v>49</v>
      </c>
      <c r="J32">
        <v>13</v>
      </c>
      <c r="K32" s="2">
        <v>1200</v>
      </c>
      <c r="L32" s="3">
        <v>0.1</v>
      </c>
      <c r="M32" s="2">
        <v>14040</v>
      </c>
      <c r="N32" s="2">
        <v>13335.71</v>
      </c>
      <c r="O32" s="3">
        <v>1.0528</v>
      </c>
      <c r="P32" t="s">
        <v>24</v>
      </c>
    </row>
    <row r="33" spans="1:16" x14ac:dyDescent="0.3">
      <c r="A33" t="s">
        <v>113</v>
      </c>
      <c r="B33" s="1">
        <v>46161</v>
      </c>
      <c r="C33" t="s">
        <v>26</v>
      </c>
      <c r="D33" t="s">
        <v>44</v>
      </c>
      <c r="E33" t="s">
        <v>85</v>
      </c>
      <c r="F33" t="s">
        <v>86</v>
      </c>
      <c r="G33" t="s">
        <v>114</v>
      </c>
      <c r="H33" t="s">
        <v>22</v>
      </c>
      <c r="I33" t="s">
        <v>104</v>
      </c>
      <c r="J33">
        <v>5</v>
      </c>
      <c r="K33" s="2">
        <v>22000</v>
      </c>
      <c r="L33" s="3">
        <v>0</v>
      </c>
      <c r="M33" s="2">
        <v>110000</v>
      </c>
      <c r="N33" s="2">
        <v>115798.44</v>
      </c>
      <c r="O33" s="3">
        <v>0.94989999999999997</v>
      </c>
      <c r="P33" t="s">
        <v>42</v>
      </c>
    </row>
    <row r="34" spans="1:16" x14ac:dyDescent="0.3">
      <c r="A34" t="s">
        <v>115</v>
      </c>
      <c r="B34" s="1">
        <v>46153</v>
      </c>
      <c r="C34" t="s">
        <v>26</v>
      </c>
      <c r="D34" t="s">
        <v>63</v>
      </c>
      <c r="E34" t="s">
        <v>80</v>
      </c>
      <c r="F34" t="s">
        <v>81</v>
      </c>
      <c r="G34" t="s">
        <v>66</v>
      </c>
      <c r="H34" t="s">
        <v>34</v>
      </c>
      <c r="I34" t="s">
        <v>67</v>
      </c>
      <c r="J34">
        <v>20</v>
      </c>
      <c r="K34" s="2">
        <v>1500</v>
      </c>
      <c r="L34" s="3">
        <v>0</v>
      </c>
      <c r="M34" s="2">
        <v>30000</v>
      </c>
      <c r="N34" s="2">
        <v>26097.24</v>
      </c>
      <c r="O34" s="3">
        <v>1.1495</v>
      </c>
      <c r="P34" t="s">
        <v>42</v>
      </c>
    </row>
    <row r="35" spans="1:16" x14ac:dyDescent="0.3">
      <c r="A35" t="s">
        <v>116</v>
      </c>
      <c r="B35" s="1">
        <v>46250</v>
      </c>
      <c r="C35" t="s">
        <v>69</v>
      </c>
      <c r="D35" t="s">
        <v>52</v>
      </c>
      <c r="E35" t="s">
        <v>75</v>
      </c>
      <c r="F35" t="s">
        <v>76</v>
      </c>
      <c r="G35" t="s">
        <v>55</v>
      </c>
      <c r="H35" t="s">
        <v>34</v>
      </c>
      <c r="I35" t="s">
        <v>73</v>
      </c>
      <c r="J35">
        <v>12</v>
      </c>
      <c r="K35" s="2">
        <v>2800</v>
      </c>
      <c r="L35" s="3">
        <v>0.1</v>
      </c>
      <c r="M35" s="2">
        <v>30240</v>
      </c>
      <c r="N35" s="2">
        <v>26972.880000000001</v>
      </c>
      <c r="O35" s="3">
        <v>1.1211</v>
      </c>
      <c r="P35" t="s">
        <v>24</v>
      </c>
    </row>
    <row r="36" spans="1:16" x14ac:dyDescent="0.3">
      <c r="A36" t="s">
        <v>117</v>
      </c>
      <c r="B36" s="1">
        <v>46167</v>
      </c>
      <c r="C36" t="s">
        <v>26</v>
      </c>
      <c r="D36" t="s">
        <v>52</v>
      </c>
      <c r="E36" t="s">
        <v>53</v>
      </c>
      <c r="F36" t="s">
        <v>54</v>
      </c>
      <c r="G36" t="s">
        <v>55</v>
      </c>
      <c r="H36" t="s">
        <v>34</v>
      </c>
      <c r="I36" t="s">
        <v>67</v>
      </c>
      <c r="J36">
        <v>7</v>
      </c>
      <c r="K36" s="2">
        <v>1500</v>
      </c>
      <c r="L36" s="3">
        <v>0.1</v>
      </c>
      <c r="M36" s="2">
        <v>9450</v>
      </c>
      <c r="N36" s="2">
        <v>10206.76</v>
      </c>
      <c r="O36" s="3">
        <v>0.92589999999999995</v>
      </c>
      <c r="P36" t="s">
        <v>24</v>
      </c>
    </row>
    <row r="37" spans="1:16" x14ac:dyDescent="0.3">
      <c r="A37" t="s">
        <v>118</v>
      </c>
      <c r="B37" s="1">
        <v>46124</v>
      </c>
      <c r="C37" t="s">
        <v>57</v>
      </c>
      <c r="D37" t="s">
        <v>63</v>
      </c>
      <c r="E37" t="s">
        <v>119</v>
      </c>
      <c r="F37" t="s">
        <v>120</v>
      </c>
      <c r="G37" t="s">
        <v>92</v>
      </c>
      <c r="H37" t="s">
        <v>34</v>
      </c>
      <c r="I37" t="s">
        <v>73</v>
      </c>
      <c r="J37">
        <v>27</v>
      </c>
      <c r="K37" s="2">
        <v>2800</v>
      </c>
      <c r="L37" s="3">
        <v>0.05</v>
      </c>
      <c r="M37" s="2">
        <v>71820</v>
      </c>
      <c r="N37" s="2">
        <v>67046.850000000006</v>
      </c>
      <c r="O37" s="3">
        <v>1.0711999999999999</v>
      </c>
      <c r="P37" t="s">
        <v>42</v>
      </c>
    </row>
    <row r="38" spans="1:16" x14ac:dyDescent="0.3">
      <c r="A38" t="s">
        <v>121</v>
      </c>
      <c r="B38" s="1">
        <v>46167</v>
      </c>
      <c r="C38" t="s">
        <v>26</v>
      </c>
      <c r="D38" t="s">
        <v>63</v>
      </c>
      <c r="E38" t="s">
        <v>119</v>
      </c>
      <c r="F38" t="s">
        <v>120</v>
      </c>
      <c r="G38" t="s">
        <v>122</v>
      </c>
      <c r="H38" t="s">
        <v>30</v>
      </c>
      <c r="I38" t="s">
        <v>41</v>
      </c>
      <c r="J38">
        <v>2</v>
      </c>
      <c r="K38" s="2">
        <v>18000</v>
      </c>
      <c r="L38" s="3">
        <v>0.1</v>
      </c>
      <c r="M38" s="2">
        <v>32400</v>
      </c>
      <c r="N38" s="2">
        <v>34583.949999999997</v>
      </c>
      <c r="O38" s="3">
        <v>0.93689999999999996</v>
      </c>
      <c r="P38" t="s">
        <v>42</v>
      </c>
    </row>
    <row r="39" spans="1:16" x14ac:dyDescent="0.3">
      <c r="A39" t="s">
        <v>123</v>
      </c>
      <c r="B39" s="1">
        <v>46248</v>
      </c>
      <c r="C39" t="s">
        <v>69</v>
      </c>
      <c r="D39" t="s">
        <v>18</v>
      </c>
      <c r="E39" t="s">
        <v>27</v>
      </c>
      <c r="F39" t="s">
        <v>28</v>
      </c>
      <c r="G39" t="s">
        <v>33</v>
      </c>
      <c r="H39" t="s">
        <v>48</v>
      </c>
      <c r="I39" t="s">
        <v>90</v>
      </c>
      <c r="J39">
        <v>13</v>
      </c>
      <c r="K39" s="2">
        <v>1800</v>
      </c>
      <c r="L39" s="3">
        <v>0</v>
      </c>
      <c r="M39" s="2">
        <v>23400</v>
      </c>
      <c r="N39" s="2">
        <v>27533.39</v>
      </c>
      <c r="O39" s="3">
        <v>0.84989999999999999</v>
      </c>
      <c r="P39" t="s">
        <v>42</v>
      </c>
    </row>
    <row r="40" spans="1:16" x14ac:dyDescent="0.3">
      <c r="A40" t="s">
        <v>124</v>
      </c>
      <c r="B40" s="1">
        <v>46229</v>
      </c>
      <c r="C40" t="s">
        <v>38</v>
      </c>
      <c r="D40" t="s">
        <v>52</v>
      </c>
      <c r="E40" t="s">
        <v>111</v>
      </c>
      <c r="F40" t="s">
        <v>112</v>
      </c>
      <c r="G40" t="s">
        <v>77</v>
      </c>
      <c r="H40" t="s">
        <v>30</v>
      </c>
      <c r="I40" t="s">
        <v>93</v>
      </c>
      <c r="J40">
        <v>9</v>
      </c>
      <c r="K40" s="2">
        <v>15000</v>
      </c>
      <c r="L40" s="3">
        <v>0.05</v>
      </c>
      <c r="M40" s="2">
        <v>128250</v>
      </c>
      <c r="N40" s="2">
        <v>136469.19</v>
      </c>
      <c r="O40" s="3">
        <v>0.93979999999999997</v>
      </c>
      <c r="P40" t="s">
        <v>24</v>
      </c>
    </row>
    <row r="41" spans="1:16" x14ac:dyDescent="0.3">
      <c r="A41" t="s">
        <v>125</v>
      </c>
      <c r="B41" s="1">
        <v>46250</v>
      </c>
      <c r="C41" t="s">
        <v>69</v>
      </c>
      <c r="D41" t="s">
        <v>18</v>
      </c>
      <c r="E41" t="s">
        <v>27</v>
      </c>
      <c r="F41" t="s">
        <v>28</v>
      </c>
      <c r="G41" t="s">
        <v>21</v>
      </c>
      <c r="H41" t="s">
        <v>34</v>
      </c>
      <c r="I41" t="s">
        <v>73</v>
      </c>
      <c r="J41">
        <v>8</v>
      </c>
      <c r="K41" s="2">
        <v>2800</v>
      </c>
      <c r="L41" s="3">
        <v>0</v>
      </c>
      <c r="M41" s="2">
        <v>22400</v>
      </c>
      <c r="N41" s="2">
        <v>21113.41</v>
      </c>
      <c r="O41" s="3">
        <v>1.0609</v>
      </c>
      <c r="P41" t="s">
        <v>42</v>
      </c>
    </row>
    <row r="42" spans="1:16" x14ac:dyDescent="0.3">
      <c r="A42" t="s">
        <v>126</v>
      </c>
      <c r="B42" s="1">
        <v>46185</v>
      </c>
      <c r="C42" t="s">
        <v>17</v>
      </c>
      <c r="D42" t="s">
        <v>52</v>
      </c>
      <c r="E42" t="s">
        <v>111</v>
      </c>
      <c r="F42" t="s">
        <v>112</v>
      </c>
      <c r="G42" t="s">
        <v>77</v>
      </c>
      <c r="H42" t="s">
        <v>34</v>
      </c>
      <c r="I42" t="s">
        <v>67</v>
      </c>
      <c r="J42">
        <v>11</v>
      </c>
      <c r="K42" s="2">
        <v>1500</v>
      </c>
      <c r="L42" s="3">
        <v>0.05</v>
      </c>
      <c r="M42" s="2">
        <v>15675</v>
      </c>
      <c r="N42" s="2">
        <v>14440.74</v>
      </c>
      <c r="O42" s="3">
        <v>1.0854999999999999</v>
      </c>
      <c r="P42" t="s">
        <v>36</v>
      </c>
    </row>
    <row r="43" spans="1:16" x14ac:dyDescent="0.3">
      <c r="A43" t="s">
        <v>127</v>
      </c>
      <c r="B43" s="1">
        <v>46034</v>
      </c>
      <c r="C43" t="s">
        <v>51</v>
      </c>
      <c r="D43" t="s">
        <v>44</v>
      </c>
      <c r="E43" t="s">
        <v>70</v>
      </c>
      <c r="F43" t="s">
        <v>71</v>
      </c>
      <c r="G43" t="s">
        <v>47</v>
      </c>
      <c r="H43" t="s">
        <v>30</v>
      </c>
      <c r="I43" t="s">
        <v>41</v>
      </c>
      <c r="J43">
        <v>12</v>
      </c>
      <c r="K43" s="2">
        <v>18000</v>
      </c>
      <c r="L43" s="3">
        <v>0.1</v>
      </c>
      <c r="M43" s="2">
        <v>194400</v>
      </c>
      <c r="N43" s="2">
        <v>221668.84</v>
      </c>
      <c r="O43" s="3">
        <v>0.877</v>
      </c>
      <c r="P43" t="s">
        <v>42</v>
      </c>
    </row>
    <row r="44" spans="1:16" x14ac:dyDescent="0.3">
      <c r="A44" t="s">
        <v>128</v>
      </c>
      <c r="B44" s="1">
        <v>46132</v>
      </c>
      <c r="C44" t="s">
        <v>57</v>
      </c>
      <c r="D44" t="s">
        <v>63</v>
      </c>
      <c r="E44" t="s">
        <v>80</v>
      </c>
      <c r="F44" t="s">
        <v>81</v>
      </c>
      <c r="G44" t="s">
        <v>122</v>
      </c>
      <c r="H44" t="s">
        <v>30</v>
      </c>
      <c r="I44" t="s">
        <v>93</v>
      </c>
      <c r="J44">
        <v>13</v>
      </c>
      <c r="K44" s="2">
        <v>15000</v>
      </c>
      <c r="L44" s="3">
        <v>0.1</v>
      </c>
      <c r="M44" s="2">
        <v>175500</v>
      </c>
      <c r="N44" s="2">
        <v>183061.97</v>
      </c>
      <c r="O44" s="3">
        <v>0.9587</v>
      </c>
      <c r="P44" t="s">
        <v>24</v>
      </c>
    </row>
    <row r="45" spans="1:16" x14ac:dyDescent="0.3">
      <c r="A45" t="s">
        <v>129</v>
      </c>
      <c r="B45" s="1">
        <v>46172</v>
      </c>
      <c r="C45" t="s">
        <v>26</v>
      </c>
      <c r="D45" t="s">
        <v>18</v>
      </c>
      <c r="E45" t="s">
        <v>19</v>
      </c>
      <c r="F45" t="s">
        <v>20</v>
      </c>
      <c r="G45" t="s">
        <v>130</v>
      </c>
      <c r="H45" t="s">
        <v>34</v>
      </c>
      <c r="I45" t="s">
        <v>35</v>
      </c>
      <c r="J45">
        <v>9</v>
      </c>
      <c r="K45" s="2">
        <v>3500</v>
      </c>
      <c r="L45" s="3">
        <v>0</v>
      </c>
      <c r="M45" s="2">
        <v>31500</v>
      </c>
      <c r="N45" s="2">
        <v>35976.410000000003</v>
      </c>
      <c r="O45" s="3">
        <v>0.87560000000000004</v>
      </c>
      <c r="P45" t="s">
        <v>24</v>
      </c>
    </row>
    <row r="46" spans="1:16" x14ac:dyDescent="0.3">
      <c r="A46" t="s">
        <v>131</v>
      </c>
      <c r="B46" s="1">
        <v>46226</v>
      </c>
      <c r="C46" t="s">
        <v>38</v>
      </c>
      <c r="D46" t="s">
        <v>52</v>
      </c>
      <c r="E46" t="s">
        <v>111</v>
      </c>
      <c r="F46" t="s">
        <v>112</v>
      </c>
      <c r="G46" t="s">
        <v>96</v>
      </c>
      <c r="H46" t="s">
        <v>30</v>
      </c>
      <c r="I46" t="s">
        <v>31</v>
      </c>
      <c r="J46">
        <v>6</v>
      </c>
      <c r="K46" s="2">
        <v>55000</v>
      </c>
      <c r="L46" s="3">
        <v>0.05</v>
      </c>
      <c r="M46" s="2">
        <v>313500</v>
      </c>
      <c r="N46" s="2">
        <v>365115.74</v>
      </c>
      <c r="O46" s="3">
        <v>0.85860000000000003</v>
      </c>
      <c r="P46" t="s">
        <v>42</v>
      </c>
    </row>
    <row r="47" spans="1:16" x14ac:dyDescent="0.3">
      <c r="A47" t="s">
        <v>132</v>
      </c>
      <c r="B47" s="1">
        <v>46249</v>
      </c>
      <c r="C47" t="s">
        <v>69</v>
      </c>
      <c r="D47" t="s">
        <v>63</v>
      </c>
      <c r="E47" t="s">
        <v>80</v>
      </c>
      <c r="F47" t="s">
        <v>81</v>
      </c>
      <c r="G47" t="s">
        <v>92</v>
      </c>
      <c r="H47" t="s">
        <v>34</v>
      </c>
      <c r="I47" t="s">
        <v>73</v>
      </c>
      <c r="J47">
        <v>8</v>
      </c>
      <c r="K47" s="2">
        <v>2800</v>
      </c>
      <c r="L47" s="3">
        <v>0.05</v>
      </c>
      <c r="M47" s="2">
        <v>21280</v>
      </c>
      <c r="N47" s="2">
        <v>23898.31</v>
      </c>
      <c r="O47" s="3">
        <v>0.89039999999999997</v>
      </c>
      <c r="P47" t="s">
        <v>36</v>
      </c>
    </row>
    <row r="48" spans="1:16" x14ac:dyDescent="0.3">
      <c r="A48" t="s">
        <v>133</v>
      </c>
      <c r="B48" s="1">
        <v>46259</v>
      </c>
      <c r="C48" t="s">
        <v>69</v>
      </c>
      <c r="D48" t="s">
        <v>52</v>
      </c>
      <c r="E48" t="s">
        <v>75</v>
      </c>
      <c r="F48" t="s">
        <v>76</v>
      </c>
      <c r="G48" t="s">
        <v>96</v>
      </c>
      <c r="H48" t="s">
        <v>30</v>
      </c>
      <c r="I48" t="s">
        <v>93</v>
      </c>
      <c r="J48">
        <v>8</v>
      </c>
      <c r="K48" s="2">
        <v>15000</v>
      </c>
      <c r="L48" s="3">
        <v>0</v>
      </c>
      <c r="M48" s="2">
        <v>120000</v>
      </c>
      <c r="N48" s="2">
        <v>109533.15</v>
      </c>
      <c r="O48" s="3">
        <v>1.0955999999999999</v>
      </c>
      <c r="P48" t="s">
        <v>36</v>
      </c>
    </row>
    <row r="49" spans="1:16" x14ac:dyDescent="0.3">
      <c r="A49" t="s">
        <v>134</v>
      </c>
      <c r="B49" s="1">
        <v>46032</v>
      </c>
      <c r="C49" t="s">
        <v>51</v>
      </c>
      <c r="D49" t="s">
        <v>44</v>
      </c>
      <c r="E49" t="s">
        <v>45</v>
      </c>
      <c r="F49" t="s">
        <v>46</v>
      </c>
      <c r="G49" t="s">
        <v>114</v>
      </c>
      <c r="H49" t="s">
        <v>22</v>
      </c>
      <c r="I49" t="s">
        <v>104</v>
      </c>
      <c r="J49">
        <v>4</v>
      </c>
      <c r="K49" s="2">
        <v>22000</v>
      </c>
      <c r="L49" s="3">
        <v>0</v>
      </c>
      <c r="M49" s="2">
        <v>88000</v>
      </c>
      <c r="N49" s="2">
        <v>86582.29</v>
      </c>
      <c r="O49" s="3">
        <v>1.0164</v>
      </c>
      <c r="P49" t="s">
        <v>36</v>
      </c>
    </row>
    <row r="50" spans="1:16" x14ac:dyDescent="0.3">
      <c r="A50" t="s">
        <v>135</v>
      </c>
      <c r="B50" s="1">
        <v>46191</v>
      </c>
      <c r="C50" t="s">
        <v>17</v>
      </c>
      <c r="D50" t="s">
        <v>52</v>
      </c>
      <c r="E50" t="s">
        <v>75</v>
      </c>
      <c r="F50" t="s">
        <v>76</v>
      </c>
      <c r="G50" t="s">
        <v>98</v>
      </c>
      <c r="H50" t="s">
        <v>22</v>
      </c>
      <c r="I50" t="s">
        <v>39</v>
      </c>
      <c r="J50">
        <v>6</v>
      </c>
      <c r="K50" s="2">
        <v>14000</v>
      </c>
      <c r="L50" s="3">
        <v>0</v>
      </c>
      <c r="M50" s="2">
        <v>84000</v>
      </c>
      <c r="N50" s="2">
        <v>77953.95</v>
      </c>
      <c r="O50" s="3">
        <v>1.0775999999999999</v>
      </c>
      <c r="P50" t="s">
        <v>42</v>
      </c>
    </row>
    <row r="51" spans="1:16" x14ac:dyDescent="0.3">
      <c r="A51" t="s">
        <v>136</v>
      </c>
      <c r="B51" s="1">
        <v>46153</v>
      </c>
      <c r="C51" t="s">
        <v>26</v>
      </c>
      <c r="D51" t="s">
        <v>44</v>
      </c>
      <c r="E51" t="s">
        <v>70</v>
      </c>
      <c r="F51" t="s">
        <v>71</v>
      </c>
      <c r="G51" t="s">
        <v>72</v>
      </c>
      <c r="H51" t="s">
        <v>30</v>
      </c>
      <c r="I51" t="s">
        <v>41</v>
      </c>
      <c r="J51">
        <v>14</v>
      </c>
      <c r="K51" s="2">
        <v>18000</v>
      </c>
      <c r="L51" s="3">
        <v>0.05</v>
      </c>
      <c r="M51" s="2">
        <v>239400</v>
      </c>
      <c r="N51" s="2">
        <v>232912.53</v>
      </c>
      <c r="O51" s="3">
        <v>1.0279</v>
      </c>
      <c r="P51" t="s">
        <v>36</v>
      </c>
    </row>
    <row r="52" spans="1:16" x14ac:dyDescent="0.3">
      <c r="A52" t="s">
        <v>137</v>
      </c>
      <c r="B52" s="1">
        <v>46175</v>
      </c>
      <c r="C52" t="s">
        <v>17</v>
      </c>
      <c r="D52" t="s">
        <v>63</v>
      </c>
      <c r="E52" t="s">
        <v>80</v>
      </c>
      <c r="F52" t="s">
        <v>81</v>
      </c>
      <c r="G52" t="s">
        <v>66</v>
      </c>
      <c r="H52" t="s">
        <v>22</v>
      </c>
      <c r="I52" t="s">
        <v>104</v>
      </c>
      <c r="J52">
        <v>4</v>
      </c>
      <c r="K52" s="2">
        <v>22000</v>
      </c>
      <c r="L52" s="3">
        <v>0.05</v>
      </c>
      <c r="M52" s="2">
        <v>83600</v>
      </c>
      <c r="N52" s="2">
        <v>72179.41</v>
      </c>
      <c r="O52" s="3">
        <v>1.1581999999999999</v>
      </c>
      <c r="P52" t="s">
        <v>36</v>
      </c>
    </row>
    <row r="53" spans="1:16" x14ac:dyDescent="0.3">
      <c r="A53" t="s">
        <v>138</v>
      </c>
      <c r="B53" s="1">
        <v>46170</v>
      </c>
      <c r="C53" t="s">
        <v>26</v>
      </c>
      <c r="D53" t="s">
        <v>63</v>
      </c>
      <c r="E53" t="s">
        <v>64</v>
      </c>
      <c r="F53" t="s">
        <v>65</v>
      </c>
      <c r="G53" t="s">
        <v>122</v>
      </c>
      <c r="H53" t="s">
        <v>48</v>
      </c>
      <c r="I53" t="s">
        <v>49</v>
      </c>
      <c r="J53">
        <v>24</v>
      </c>
      <c r="K53" s="2">
        <v>1200</v>
      </c>
      <c r="L53" s="3">
        <v>0</v>
      </c>
      <c r="M53" s="2">
        <v>28800</v>
      </c>
      <c r="N53" s="2">
        <v>28362.77</v>
      </c>
      <c r="O53" s="3">
        <v>1.0154000000000001</v>
      </c>
      <c r="P53" t="s">
        <v>42</v>
      </c>
    </row>
    <row r="54" spans="1:16" x14ac:dyDescent="0.3">
      <c r="A54" t="s">
        <v>139</v>
      </c>
      <c r="B54" s="1">
        <v>46040</v>
      </c>
      <c r="C54" t="s">
        <v>51</v>
      </c>
      <c r="D54" t="s">
        <v>63</v>
      </c>
      <c r="E54" t="s">
        <v>80</v>
      </c>
      <c r="F54" t="s">
        <v>81</v>
      </c>
      <c r="G54" t="s">
        <v>82</v>
      </c>
      <c r="H54" t="s">
        <v>30</v>
      </c>
      <c r="I54" t="s">
        <v>31</v>
      </c>
      <c r="J54">
        <v>10</v>
      </c>
      <c r="K54" s="2">
        <v>55000</v>
      </c>
      <c r="L54" s="3">
        <v>0</v>
      </c>
      <c r="M54" s="2">
        <v>550000</v>
      </c>
      <c r="N54" s="2">
        <v>537612.63</v>
      </c>
      <c r="O54" s="3">
        <v>1.0229999999999999</v>
      </c>
      <c r="P54" t="s">
        <v>24</v>
      </c>
    </row>
    <row r="55" spans="1:16" x14ac:dyDescent="0.3">
      <c r="A55" t="s">
        <v>140</v>
      </c>
      <c r="B55" s="1">
        <v>46193</v>
      </c>
      <c r="C55" t="s">
        <v>17</v>
      </c>
      <c r="D55" t="s">
        <v>63</v>
      </c>
      <c r="E55" t="s">
        <v>64</v>
      </c>
      <c r="F55" t="s">
        <v>65</v>
      </c>
      <c r="G55" t="s">
        <v>122</v>
      </c>
      <c r="H55" t="s">
        <v>34</v>
      </c>
      <c r="I55" t="s">
        <v>73</v>
      </c>
      <c r="J55">
        <v>8</v>
      </c>
      <c r="K55" s="2">
        <v>2800</v>
      </c>
      <c r="L55" s="3">
        <v>0.05</v>
      </c>
      <c r="M55" s="2">
        <v>21280</v>
      </c>
      <c r="N55" s="2">
        <v>21865.05</v>
      </c>
      <c r="O55" s="3">
        <v>0.97319999999999995</v>
      </c>
      <c r="P55" t="s">
        <v>36</v>
      </c>
    </row>
    <row r="56" spans="1:16" x14ac:dyDescent="0.3">
      <c r="A56" t="s">
        <v>141</v>
      </c>
      <c r="B56" s="1">
        <v>46263</v>
      </c>
      <c r="C56" t="s">
        <v>69</v>
      </c>
      <c r="D56" t="s">
        <v>63</v>
      </c>
      <c r="E56" t="s">
        <v>119</v>
      </c>
      <c r="F56" t="s">
        <v>120</v>
      </c>
      <c r="G56" t="s">
        <v>122</v>
      </c>
      <c r="H56" t="s">
        <v>48</v>
      </c>
      <c r="I56" t="s">
        <v>90</v>
      </c>
      <c r="J56">
        <v>9</v>
      </c>
      <c r="K56" s="2">
        <v>1800</v>
      </c>
      <c r="L56" s="3">
        <v>0</v>
      </c>
      <c r="M56" s="2">
        <v>16200</v>
      </c>
      <c r="N56" s="2">
        <v>16153.93</v>
      </c>
      <c r="O56" s="3">
        <v>1.0028999999999999</v>
      </c>
      <c r="P56" t="s">
        <v>36</v>
      </c>
    </row>
    <row r="57" spans="1:16" x14ac:dyDescent="0.3">
      <c r="A57" t="s">
        <v>142</v>
      </c>
      <c r="B57" s="1">
        <v>46076</v>
      </c>
      <c r="C57" t="s">
        <v>79</v>
      </c>
      <c r="D57" t="s">
        <v>52</v>
      </c>
      <c r="E57" t="s">
        <v>53</v>
      </c>
      <c r="F57" t="s">
        <v>54</v>
      </c>
      <c r="G57" t="s">
        <v>77</v>
      </c>
      <c r="H57" t="s">
        <v>48</v>
      </c>
      <c r="I57" t="s">
        <v>49</v>
      </c>
      <c r="J57">
        <v>22</v>
      </c>
      <c r="K57" s="2">
        <v>1200</v>
      </c>
      <c r="L57" s="3">
        <v>0</v>
      </c>
      <c r="M57" s="2">
        <v>26400</v>
      </c>
      <c r="N57" s="2">
        <v>25247.8</v>
      </c>
      <c r="O57" s="3">
        <v>1.0456000000000001</v>
      </c>
      <c r="P57" t="s">
        <v>36</v>
      </c>
    </row>
    <row r="58" spans="1:16" x14ac:dyDescent="0.3">
      <c r="A58" t="s">
        <v>143</v>
      </c>
      <c r="B58" s="1">
        <v>46226</v>
      </c>
      <c r="C58" t="s">
        <v>38</v>
      </c>
      <c r="D58" t="s">
        <v>63</v>
      </c>
      <c r="E58" t="s">
        <v>119</v>
      </c>
      <c r="F58" t="s">
        <v>120</v>
      </c>
      <c r="G58" t="s">
        <v>82</v>
      </c>
      <c r="H58" t="s">
        <v>48</v>
      </c>
      <c r="I58" t="s">
        <v>60</v>
      </c>
      <c r="J58">
        <v>26</v>
      </c>
      <c r="K58" s="2">
        <v>2500</v>
      </c>
      <c r="L58" s="3">
        <v>0</v>
      </c>
      <c r="M58" s="2">
        <v>65000</v>
      </c>
      <c r="N58" s="2">
        <v>66879.210000000006</v>
      </c>
      <c r="O58" s="3">
        <v>0.97189999999999999</v>
      </c>
      <c r="P58" t="s">
        <v>24</v>
      </c>
    </row>
    <row r="59" spans="1:16" x14ac:dyDescent="0.3">
      <c r="A59" t="s">
        <v>144</v>
      </c>
      <c r="B59" s="1">
        <v>46215</v>
      </c>
      <c r="C59" t="s">
        <v>38</v>
      </c>
      <c r="D59" t="s">
        <v>52</v>
      </c>
      <c r="E59" t="s">
        <v>53</v>
      </c>
      <c r="F59" t="s">
        <v>54</v>
      </c>
      <c r="G59" t="s">
        <v>55</v>
      </c>
      <c r="H59" t="s">
        <v>22</v>
      </c>
      <c r="I59" t="s">
        <v>104</v>
      </c>
      <c r="J59">
        <v>10</v>
      </c>
      <c r="K59" s="2">
        <v>22000</v>
      </c>
      <c r="L59" s="3">
        <v>0.05</v>
      </c>
      <c r="M59" s="2">
        <v>209000</v>
      </c>
      <c r="N59" s="2">
        <v>184481.27</v>
      </c>
      <c r="O59" s="3">
        <v>1.1329</v>
      </c>
      <c r="P59" t="s">
        <v>42</v>
      </c>
    </row>
    <row r="60" spans="1:16" x14ac:dyDescent="0.3">
      <c r="A60" t="s">
        <v>145</v>
      </c>
      <c r="B60" s="1">
        <v>46144</v>
      </c>
      <c r="C60" t="s">
        <v>26</v>
      </c>
      <c r="D60" t="s">
        <v>63</v>
      </c>
      <c r="E60" t="s">
        <v>80</v>
      </c>
      <c r="F60" t="s">
        <v>81</v>
      </c>
      <c r="G60" t="s">
        <v>92</v>
      </c>
      <c r="H60" t="s">
        <v>30</v>
      </c>
      <c r="I60" t="s">
        <v>93</v>
      </c>
      <c r="J60">
        <v>2</v>
      </c>
      <c r="K60" s="2">
        <v>15000</v>
      </c>
      <c r="L60" s="3">
        <v>0</v>
      </c>
      <c r="M60" s="2">
        <v>30000</v>
      </c>
      <c r="N60" s="2">
        <v>28070.85</v>
      </c>
      <c r="O60" s="3">
        <v>1.0687</v>
      </c>
      <c r="P60" t="s">
        <v>24</v>
      </c>
    </row>
    <row r="61" spans="1:16" x14ac:dyDescent="0.3">
      <c r="A61" t="s">
        <v>146</v>
      </c>
      <c r="B61" s="1">
        <v>46121</v>
      </c>
      <c r="C61" t="s">
        <v>57</v>
      </c>
      <c r="D61" t="s">
        <v>18</v>
      </c>
      <c r="E61" t="s">
        <v>58</v>
      </c>
      <c r="F61" t="s">
        <v>59</v>
      </c>
      <c r="G61" t="s">
        <v>29</v>
      </c>
      <c r="H61" t="s">
        <v>34</v>
      </c>
      <c r="I61" t="s">
        <v>73</v>
      </c>
      <c r="J61">
        <v>23</v>
      </c>
      <c r="K61" s="2">
        <v>2800</v>
      </c>
      <c r="L61" s="3">
        <v>0</v>
      </c>
      <c r="M61" s="2">
        <v>64400</v>
      </c>
      <c r="N61" s="2">
        <v>70931.520000000004</v>
      </c>
      <c r="O61" s="3">
        <v>0.90790000000000004</v>
      </c>
      <c r="P61" t="s">
        <v>36</v>
      </c>
    </row>
    <row r="62" spans="1:16" x14ac:dyDescent="0.3">
      <c r="A62" t="s">
        <v>147</v>
      </c>
      <c r="B62" s="1">
        <v>46243</v>
      </c>
      <c r="C62" t="s">
        <v>69</v>
      </c>
      <c r="D62" t="s">
        <v>44</v>
      </c>
      <c r="E62" t="s">
        <v>85</v>
      </c>
      <c r="F62" t="s">
        <v>86</v>
      </c>
      <c r="G62" t="s">
        <v>114</v>
      </c>
      <c r="H62" t="s">
        <v>34</v>
      </c>
      <c r="I62" t="s">
        <v>73</v>
      </c>
      <c r="J62">
        <v>27</v>
      </c>
      <c r="K62" s="2">
        <v>2800</v>
      </c>
      <c r="L62" s="3">
        <v>0</v>
      </c>
      <c r="M62" s="2">
        <v>75600</v>
      </c>
      <c r="N62" s="2">
        <v>87879.78</v>
      </c>
      <c r="O62" s="3">
        <v>0.86029999999999995</v>
      </c>
      <c r="P62" t="s">
        <v>42</v>
      </c>
    </row>
    <row r="63" spans="1:16" x14ac:dyDescent="0.3">
      <c r="A63" t="s">
        <v>148</v>
      </c>
      <c r="B63" s="1">
        <v>46086</v>
      </c>
      <c r="C63" t="s">
        <v>62</v>
      </c>
      <c r="D63" t="s">
        <v>44</v>
      </c>
      <c r="E63" t="s">
        <v>85</v>
      </c>
      <c r="F63" t="s">
        <v>86</v>
      </c>
      <c r="G63" t="s">
        <v>114</v>
      </c>
      <c r="H63" t="s">
        <v>34</v>
      </c>
      <c r="I63" t="s">
        <v>35</v>
      </c>
      <c r="J63">
        <v>21</v>
      </c>
      <c r="K63" s="2">
        <v>3500</v>
      </c>
      <c r="L63" s="3">
        <v>0.1</v>
      </c>
      <c r="M63" s="2">
        <v>66150</v>
      </c>
      <c r="N63" s="2">
        <v>57390.18</v>
      </c>
      <c r="O63" s="3">
        <v>1.1526000000000001</v>
      </c>
      <c r="P63" t="s">
        <v>42</v>
      </c>
    </row>
    <row r="64" spans="1:16" x14ac:dyDescent="0.3">
      <c r="A64" t="s">
        <v>149</v>
      </c>
      <c r="B64" s="1">
        <v>46251</v>
      </c>
      <c r="C64" t="s">
        <v>69</v>
      </c>
      <c r="D64" t="s">
        <v>44</v>
      </c>
      <c r="E64" t="s">
        <v>85</v>
      </c>
      <c r="F64" t="s">
        <v>86</v>
      </c>
      <c r="G64" t="s">
        <v>101</v>
      </c>
      <c r="H64" t="s">
        <v>34</v>
      </c>
      <c r="I64" t="s">
        <v>73</v>
      </c>
      <c r="J64">
        <v>21</v>
      </c>
      <c r="K64" s="2">
        <v>2800</v>
      </c>
      <c r="L64" s="3">
        <v>0.05</v>
      </c>
      <c r="M64" s="2">
        <v>55860</v>
      </c>
      <c r="N64" s="2">
        <v>66055.22</v>
      </c>
      <c r="O64" s="3">
        <v>0.84570000000000001</v>
      </c>
      <c r="P64" t="s">
        <v>36</v>
      </c>
    </row>
    <row r="65" spans="1:16" x14ac:dyDescent="0.3">
      <c r="A65" t="s">
        <v>150</v>
      </c>
      <c r="B65" s="1">
        <v>46215</v>
      </c>
      <c r="C65" t="s">
        <v>38</v>
      </c>
      <c r="D65" t="s">
        <v>44</v>
      </c>
      <c r="E65" t="s">
        <v>45</v>
      </c>
      <c r="F65" t="s">
        <v>46</v>
      </c>
      <c r="G65" t="s">
        <v>101</v>
      </c>
      <c r="H65" t="s">
        <v>30</v>
      </c>
      <c r="I65" t="s">
        <v>93</v>
      </c>
      <c r="J65">
        <v>13</v>
      </c>
      <c r="K65" s="2">
        <v>15000</v>
      </c>
      <c r="L65" s="3">
        <v>0.1</v>
      </c>
      <c r="M65" s="2">
        <v>175500</v>
      </c>
      <c r="N65" s="2">
        <v>176820.53</v>
      </c>
      <c r="O65" s="3">
        <v>0.99250000000000005</v>
      </c>
      <c r="P65" t="s">
        <v>42</v>
      </c>
    </row>
    <row r="66" spans="1:16" x14ac:dyDescent="0.3">
      <c r="A66" t="s">
        <v>151</v>
      </c>
      <c r="B66" s="1">
        <v>46205</v>
      </c>
      <c r="C66" t="s">
        <v>38</v>
      </c>
      <c r="D66" t="s">
        <v>63</v>
      </c>
      <c r="E66" t="s">
        <v>64</v>
      </c>
      <c r="F66" t="s">
        <v>65</v>
      </c>
      <c r="G66" t="s">
        <v>82</v>
      </c>
      <c r="H66" t="s">
        <v>34</v>
      </c>
      <c r="I66" t="s">
        <v>73</v>
      </c>
      <c r="J66">
        <v>12</v>
      </c>
      <c r="K66" s="2">
        <v>2800</v>
      </c>
      <c r="L66" s="3">
        <v>0.05</v>
      </c>
      <c r="M66" s="2">
        <v>31920</v>
      </c>
      <c r="N66" s="2">
        <v>32046.26</v>
      </c>
      <c r="O66" s="3">
        <v>0.99609999999999999</v>
      </c>
      <c r="P66" t="s">
        <v>36</v>
      </c>
    </row>
    <row r="67" spans="1:16" x14ac:dyDescent="0.3">
      <c r="A67" t="s">
        <v>152</v>
      </c>
      <c r="B67" s="1">
        <v>46082</v>
      </c>
      <c r="C67" t="s">
        <v>62</v>
      </c>
      <c r="D67" t="s">
        <v>52</v>
      </c>
      <c r="E67" t="s">
        <v>111</v>
      </c>
      <c r="F67" t="s">
        <v>112</v>
      </c>
      <c r="G67" t="s">
        <v>77</v>
      </c>
      <c r="H67" t="s">
        <v>22</v>
      </c>
      <c r="I67" t="s">
        <v>39</v>
      </c>
      <c r="J67">
        <v>10</v>
      </c>
      <c r="K67" s="2">
        <v>14000</v>
      </c>
      <c r="L67" s="3">
        <v>0</v>
      </c>
      <c r="M67" s="2">
        <v>140000</v>
      </c>
      <c r="N67" s="2">
        <v>125780.33</v>
      </c>
      <c r="O67" s="3">
        <v>1.1131</v>
      </c>
      <c r="P67" t="s">
        <v>36</v>
      </c>
    </row>
    <row r="68" spans="1:16" x14ac:dyDescent="0.3">
      <c r="A68" t="s">
        <v>153</v>
      </c>
      <c r="B68" s="1">
        <v>46142</v>
      </c>
      <c r="C68" t="s">
        <v>57</v>
      </c>
      <c r="D68" t="s">
        <v>52</v>
      </c>
      <c r="E68" t="s">
        <v>53</v>
      </c>
      <c r="F68" t="s">
        <v>54</v>
      </c>
      <c r="G68" t="s">
        <v>96</v>
      </c>
      <c r="H68" t="s">
        <v>30</v>
      </c>
      <c r="I68" t="s">
        <v>41</v>
      </c>
      <c r="J68">
        <v>8</v>
      </c>
      <c r="K68" s="2">
        <v>18000</v>
      </c>
      <c r="L68" s="3">
        <v>0.1</v>
      </c>
      <c r="M68" s="2">
        <v>129600</v>
      </c>
      <c r="N68" s="2">
        <v>125168.78</v>
      </c>
      <c r="O68" s="3">
        <v>1.0354000000000001</v>
      </c>
      <c r="P68" t="s">
        <v>36</v>
      </c>
    </row>
    <row r="69" spans="1:16" x14ac:dyDescent="0.3">
      <c r="A69" t="s">
        <v>154</v>
      </c>
      <c r="B69" s="1">
        <v>46218</v>
      </c>
      <c r="C69" t="s">
        <v>38</v>
      </c>
      <c r="D69" t="s">
        <v>18</v>
      </c>
      <c r="E69" t="s">
        <v>19</v>
      </c>
      <c r="F69" t="s">
        <v>20</v>
      </c>
      <c r="G69" t="s">
        <v>29</v>
      </c>
      <c r="H69" t="s">
        <v>48</v>
      </c>
      <c r="I69" t="s">
        <v>49</v>
      </c>
      <c r="J69">
        <v>29</v>
      </c>
      <c r="K69" s="2">
        <v>1200</v>
      </c>
      <c r="L69" s="3">
        <v>0</v>
      </c>
      <c r="M69" s="2">
        <v>34800</v>
      </c>
      <c r="N69" s="2">
        <v>40015</v>
      </c>
      <c r="O69" s="3">
        <v>0.86970000000000003</v>
      </c>
      <c r="P69" t="s">
        <v>24</v>
      </c>
    </row>
    <row r="70" spans="1:16" x14ac:dyDescent="0.3">
      <c r="A70" t="s">
        <v>155</v>
      </c>
      <c r="B70" s="1">
        <v>46236</v>
      </c>
      <c r="C70" t="s">
        <v>69</v>
      </c>
      <c r="D70" t="s">
        <v>44</v>
      </c>
      <c r="E70" t="s">
        <v>70</v>
      </c>
      <c r="F70" t="s">
        <v>71</v>
      </c>
      <c r="G70" t="s">
        <v>47</v>
      </c>
      <c r="H70" t="s">
        <v>22</v>
      </c>
      <c r="I70" t="s">
        <v>39</v>
      </c>
      <c r="J70">
        <v>6</v>
      </c>
      <c r="K70" s="2">
        <v>14000</v>
      </c>
      <c r="L70" s="3">
        <v>0.1</v>
      </c>
      <c r="M70" s="2">
        <v>75600</v>
      </c>
      <c r="N70" s="2">
        <v>86842.23</v>
      </c>
      <c r="O70" s="3">
        <v>0.87050000000000005</v>
      </c>
      <c r="P70" t="s">
        <v>36</v>
      </c>
    </row>
    <row r="71" spans="1:16" x14ac:dyDescent="0.3">
      <c r="A71" t="s">
        <v>156</v>
      </c>
      <c r="B71" s="1">
        <v>46109</v>
      </c>
      <c r="C71" t="s">
        <v>62</v>
      </c>
      <c r="D71" t="s">
        <v>52</v>
      </c>
      <c r="E71" t="s">
        <v>111</v>
      </c>
      <c r="F71" t="s">
        <v>112</v>
      </c>
      <c r="G71" t="s">
        <v>96</v>
      </c>
      <c r="H71" t="s">
        <v>22</v>
      </c>
      <c r="I71" t="s">
        <v>104</v>
      </c>
      <c r="J71">
        <v>8</v>
      </c>
      <c r="K71" s="2">
        <v>22000</v>
      </c>
      <c r="L71" s="3">
        <v>0.1</v>
      </c>
      <c r="M71" s="2">
        <v>158400</v>
      </c>
      <c r="N71" s="2">
        <v>136249.14000000001</v>
      </c>
      <c r="O71" s="3">
        <v>1.1626000000000001</v>
      </c>
      <c r="P71" t="s">
        <v>24</v>
      </c>
    </row>
    <row r="72" spans="1:16" x14ac:dyDescent="0.3">
      <c r="A72" t="s">
        <v>157</v>
      </c>
      <c r="B72" s="1">
        <v>46174</v>
      </c>
      <c r="C72" t="s">
        <v>17</v>
      </c>
      <c r="D72" t="s">
        <v>44</v>
      </c>
      <c r="E72" t="s">
        <v>45</v>
      </c>
      <c r="F72" t="s">
        <v>46</v>
      </c>
      <c r="G72" t="s">
        <v>114</v>
      </c>
      <c r="H72" t="s">
        <v>48</v>
      </c>
      <c r="I72" t="s">
        <v>60</v>
      </c>
      <c r="J72">
        <v>9</v>
      </c>
      <c r="K72" s="2">
        <v>2500</v>
      </c>
      <c r="L72" s="3">
        <v>0</v>
      </c>
      <c r="M72" s="2">
        <v>22500</v>
      </c>
      <c r="N72" s="2">
        <v>26267.06</v>
      </c>
      <c r="O72" s="3">
        <v>0.85660000000000003</v>
      </c>
      <c r="P72" t="s">
        <v>24</v>
      </c>
    </row>
    <row r="73" spans="1:16" x14ac:dyDescent="0.3">
      <c r="A73" t="s">
        <v>158</v>
      </c>
      <c r="B73" s="1">
        <v>46089</v>
      </c>
      <c r="C73" t="s">
        <v>62</v>
      </c>
      <c r="D73" t="s">
        <v>18</v>
      </c>
      <c r="E73" t="s">
        <v>19</v>
      </c>
      <c r="F73" t="s">
        <v>20</v>
      </c>
      <c r="G73" t="s">
        <v>29</v>
      </c>
      <c r="H73" t="s">
        <v>30</v>
      </c>
      <c r="I73" t="s">
        <v>93</v>
      </c>
      <c r="J73">
        <v>15</v>
      </c>
      <c r="K73" s="2">
        <v>15000</v>
      </c>
      <c r="L73" s="3">
        <v>0.1</v>
      </c>
      <c r="M73" s="2">
        <v>202500</v>
      </c>
      <c r="N73" s="2">
        <v>185005.04</v>
      </c>
      <c r="O73" s="3">
        <v>1.0946</v>
      </c>
      <c r="P73" t="s">
        <v>36</v>
      </c>
    </row>
    <row r="74" spans="1:16" x14ac:dyDescent="0.3">
      <c r="A74" t="s">
        <v>159</v>
      </c>
      <c r="B74" s="1">
        <v>46235</v>
      </c>
      <c r="C74" t="s">
        <v>69</v>
      </c>
      <c r="D74" t="s">
        <v>63</v>
      </c>
      <c r="E74" t="s">
        <v>80</v>
      </c>
      <c r="F74" t="s">
        <v>81</v>
      </c>
      <c r="G74" t="s">
        <v>82</v>
      </c>
      <c r="H74" t="s">
        <v>22</v>
      </c>
      <c r="I74" t="s">
        <v>39</v>
      </c>
      <c r="J74">
        <v>7</v>
      </c>
      <c r="K74" s="2">
        <v>14000</v>
      </c>
      <c r="L74" s="3">
        <v>0.1</v>
      </c>
      <c r="M74" s="2">
        <v>88200</v>
      </c>
      <c r="N74" s="2">
        <v>83559.78</v>
      </c>
      <c r="O74" s="3">
        <v>1.0555000000000001</v>
      </c>
      <c r="P74" t="s">
        <v>36</v>
      </c>
    </row>
    <row r="75" spans="1:16" x14ac:dyDescent="0.3">
      <c r="A75" t="s">
        <v>160</v>
      </c>
      <c r="B75" s="1">
        <v>46112</v>
      </c>
      <c r="C75" t="s">
        <v>62</v>
      </c>
      <c r="D75" t="s">
        <v>63</v>
      </c>
      <c r="E75" t="s">
        <v>80</v>
      </c>
      <c r="F75" t="s">
        <v>81</v>
      </c>
      <c r="G75" t="s">
        <v>82</v>
      </c>
      <c r="H75" t="s">
        <v>30</v>
      </c>
      <c r="I75" t="s">
        <v>31</v>
      </c>
      <c r="J75">
        <v>13</v>
      </c>
      <c r="K75" s="2">
        <v>55000</v>
      </c>
      <c r="L75" s="3">
        <v>0</v>
      </c>
      <c r="M75" s="2">
        <v>715000</v>
      </c>
      <c r="N75" s="2">
        <v>857976.93</v>
      </c>
      <c r="O75" s="3">
        <v>0.83340000000000003</v>
      </c>
      <c r="P75" t="s">
        <v>42</v>
      </c>
    </row>
    <row r="76" spans="1:16" x14ac:dyDescent="0.3">
      <c r="A76" t="s">
        <v>161</v>
      </c>
      <c r="B76" s="1">
        <v>46182</v>
      </c>
      <c r="C76" t="s">
        <v>17</v>
      </c>
      <c r="D76" t="s">
        <v>18</v>
      </c>
      <c r="E76" t="s">
        <v>27</v>
      </c>
      <c r="F76" t="s">
        <v>28</v>
      </c>
      <c r="G76" t="s">
        <v>130</v>
      </c>
      <c r="H76" t="s">
        <v>30</v>
      </c>
      <c r="I76" t="s">
        <v>31</v>
      </c>
      <c r="J76">
        <v>5</v>
      </c>
      <c r="K76" s="2">
        <v>55000</v>
      </c>
      <c r="L76" s="3">
        <v>0</v>
      </c>
      <c r="M76" s="2">
        <v>275000</v>
      </c>
      <c r="N76" s="2">
        <v>314525.78000000003</v>
      </c>
      <c r="O76" s="3">
        <v>0.87429999999999997</v>
      </c>
      <c r="P76" t="s">
        <v>42</v>
      </c>
    </row>
    <row r="77" spans="1:16" x14ac:dyDescent="0.3">
      <c r="A77" t="s">
        <v>162</v>
      </c>
      <c r="B77" s="1">
        <v>46088</v>
      </c>
      <c r="C77" t="s">
        <v>62</v>
      </c>
      <c r="D77" t="s">
        <v>52</v>
      </c>
      <c r="E77" t="s">
        <v>75</v>
      </c>
      <c r="F77" t="s">
        <v>76</v>
      </c>
      <c r="G77" t="s">
        <v>98</v>
      </c>
      <c r="H77" t="s">
        <v>34</v>
      </c>
      <c r="I77" t="s">
        <v>73</v>
      </c>
      <c r="J77">
        <v>8</v>
      </c>
      <c r="K77" s="2">
        <v>2800</v>
      </c>
      <c r="L77" s="3">
        <v>0</v>
      </c>
      <c r="M77" s="2">
        <v>22400</v>
      </c>
      <c r="N77" s="2">
        <v>22685.87</v>
      </c>
      <c r="O77" s="3">
        <v>0.98740000000000006</v>
      </c>
      <c r="P77" t="s">
        <v>36</v>
      </c>
    </row>
    <row r="78" spans="1:16" x14ac:dyDescent="0.3">
      <c r="A78" t="s">
        <v>163</v>
      </c>
      <c r="B78" s="1">
        <v>46260</v>
      </c>
      <c r="C78" t="s">
        <v>69</v>
      </c>
      <c r="D78" t="s">
        <v>52</v>
      </c>
      <c r="E78" t="s">
        <v>53</v>
      </c>
      <c r="F78" t="s">
        <v>54</v>
      </c>
      <c r="G78" t="s">
        <v>55</v>
      </c>
      <c r="H78" t="s">
        <v>30</v>
      </c>
      <c r="I78" t="s">
        <v>93</v>
      </c>
      <c r="J78">
        <v>6</v>
      </c>
      <c r="K78" s="2">
        <v>15000</v>
      </c>
      <c r="L78" s="3">
        <v>0</v>
      </c>
      <c r="M78" s="2">
        <v>90000</v>
      </c>
      <c r="N78" s="2">
        <v>94728.57</v>
      </c>
      <c r="O78" s="3">
        <v>0.95009999999999994</v>
      </c>
      <c r="P78" t="s">
        <v>36</v>
      </c>
    </row>
    <row r="79" spans="1:16" x14ac:dyDescent="0.3">
      <c r="A79" t="s">
        <v>164</v>
      </c>
      <c r="B79" s="1">
        <v>46220</v>
      </c>
      <c r="C79" t="s">
        <v>38</v>
      </c>
      <c r="D79" t="s">
        <v>44</v>
      </c>
      <c r="E79" t="s">
        <v>70</v>
      </c>
      <c r="F79" t="s">
        <v>71</v>
      </c>
      <c r="G79" t="s">
        <v>114</v>
      </c>
      <c r="H79" t="s">
        <v>30</v>
      </c>
      <c r="I79" t="s">
        <v>41</v>
      </c>
      <c r="J79">
        <v>11</v>
      </c>
      <c r="K79" s="2">
        <v>18000</v>
      </c>
      <c r="L79" s="3">
        <v>0</v>
      </c>
      <c r="M79" s="2">
        <v>198000</v>
      </c>
      <c r="N79" s="2">
        <v>175361.76</v>
      </c>
      <c r="O79" s="3">
        <v>1.1291</v>
      </c>
      <c r="P79" t="s">
        <v>36</v>
      </c>
    </row>
    <row r="80" spans="1:16" x14ac:dyDescent="0.3">
      <c r="A80" t="s">
        <v>165</v>
      </c>
      <c r="B80" s="1">
        <v>46040</v>
      </c>
      <c r="C80" t="s">
        <v>51</v>
      </c>
      <c r="D80" t="s">
        <v>18</v>
      </c>
      <c r="E80" t="s">
        <v>27</v>
      </c>
      <c r="F80" t="s">
        <v>28</v>
      </c>
      <c r="G80" t="s">
        <v>130</v>
      </c>
      <c r="H80" t="s">
        <v>22</v>
      </c>
      <c r="I80" t="s">
        <v>39</v>
      </c>
      <c r="J80">
        <v>10</v>
      </c>
      <c r="K80" s="2">
        <v>14000</v>
      </c>
      <c r="L80" s="3">
        <v>0.1</v>
      </c>
      <c r="M80" s="2">
        <v>126000</v>
      </c>
      <c r="N80" s="2">
        <v>136273.09</v>
      </c>
      <c r="O80" s="3">
        <v>0.92459999999999998</v>
      </c>
      <c r="P80" t="s">
        <v>24</v>
      </c>
    </row>
    <row r="81" spans="1:16" x14ac:dyDescent="0.3">
      <c r="A81" t="s">
        <v>166</v>
      </c>
      <c r="B81" s="1">
        <v>46185</v>
      </c>
      <c r="C81" t="s">
        <v>17</v>
      </c>
      <c r="D81" t="s">
        <v>63</v>
      </c>
      <c r="E81" t="s">
        <v>80</v>
      </c>
      <c r="F81" t="s">
        <v>81</v>
      </c>
      <c r="G81" t="s">
        <v>82</v>
      </c>
      <c r="H81" t="s">
        <v>48</v>
      </c>
      <c r="I81" t="s">
        <v>60</v>
      </c>
      <c r="J81">
        <v>8</v>
      </c>
      <c r="K81" s="2">
        <v>2500</v>
      </c>
      <c r="L81" s="3">
        <v>0.1</v>
      </c>
      <c r="M81" s="2">
        <v>18000</v>
      </c>
      <c r="N81" s="2">
        <v>21352.959999999999</v>
      </c>
      <c r="O81" s="3">
        <v>0.84299999999999997</v>
      </c>
      <c r="P81" t="s">
        <v>36</v>
      </c>
    </row>
    <row r="82" spans="1:16" x14ac:dyDescent="0.3">
      <c r="A82" t="s">
        <v>167</v>
      </c>
      <c r="B82" s="1">
        <v>46258</v>
      </c>
      <c r="C82" t="s">
        <v>69</v>
      </c>
      <c r="D82" t="s">
        <v>52</v>
      </c>
      <c r="E82" t="s">
        <v>111</v>
      </c>
      <c r="F82" t="s">
        <v>112</v>
      </c>
      <c r="G82" t="s">
        <v>96</v>
      </c>
      <c r="H82" t="s">
        <v>34</v>
      </c>
      <c r="I82" t="s">
        <v>35</v>
      </c>
      <c r="J82">
        <v>21</v>
      </c>
      <c r="K82" s="2">
        <v>3500</v>
      </c>
      <c r="L82" s="3">
        <v>0.05</v>
      </c>
      <c r="M82" s="2">
        <v>69825</v>
      </c>
      <c r="N82" s="2">
        <v>74403.38</v>
      </c>
      <c r="O82" s="3">
        <v>0.9385</v>
      </c>
      <c r="P82" t="s">
        <v>24</v>
      </c>
    </row>
    <row r="83" spans="1:16" x14ac:dyDescent="0.3">
      <c r="A83" t="s">
        <v>168</v>
      </c>
      <c r="B83" s="1">
        <v>46085</v>
      </c>
      <c r="C83" t="s">
        <v>62</v>
      </c>
      <c r="D83" t="s">
        <v>44</v>
      </c>
      <c r="E83" t="s">
        <v>70</v>
      </c>
      <c r="F83" t="s">
        <v>71</v>
      </c>
      <c r="G83" t="s">
        <v>101</v>
      </c>
      <c r="H83" t="s">
        <v>34</v>
      </c>
      <c r="I83" t="s">
        <v>35</v>
      </c>
      <c r="J83">
        <v>23</v>
      </c>
      <c r="K83" s="2">
        <v>3500</v>
      </c>
      <c r="L83" s="3">
        <v>0.05</v>
      </c>
      <c r="M83" s="2">
        <v>76475</v>
      </c>
      <c r="N83" s="2">
        <v>73630.64</v>
      </c>
      <c r="O83" s="3">
        <v>1.0386</v>
      </c>
      <c r="P83" t="s">
        <v>42</v>
      </c>
    </row>
    <row r="84" spans="1:16" x14ac:dyDescent="0.3">
      <c r="A84" t="s">
        <v>169</v>
      </c>
      <c r="B84" s="1">
        <v>46149</v>
      </c>
      <c r="C84" t="s">
        <v>26</v>
      </c>
      <c r="D84" t="s">
        <v>63</v>
      </c>
      <c r="E84" t="s">
        <v>119</v>
      </c>
      <c r="F84" t="s">
        <v>120</v>
      </c>
      <c r="G84" t="s">
        <v>92</v>
      </c>
      <c r="H84" t="s">
        <v>48</v>
      </c>
      <c r="I84" t="s">
        <v>60</v>
      </c>
      <c r="J84">
        <v>23</v>
      </c>
      <c r="K84" s="2">
        <v>2500</v>
      </c>
      <c r="L84" s="3">
        <v>0.1</v>
      </c>
      <c r="M84" s="2">
        <v>51750</v>
      </c>
      <c r="N84" s="2">
        <v>50080.480000000003</v>
      </c>
      <c r="O84" s="3">
        <v>1.0333000000000001</v>
      </c>
      <c r="P84" t="s">
        <v>36</v>
      </c>
    </row>
    <row r="85" spans="1:16" x14ac:dyDescent="0.3">
      <c r="A85" t="s">
        <v>170</v>
      </c>
      <c r="B85" s="1">
        <v>46248</v>
      </c>
      <c r="C85" t="s">
        <v>69</v>
      </c>
      <c r="D85" t="s">
        <v>52</v>
      </c>
      <c r="E85" t="s">
        <v>111</v>
      </c>
      <c r="F85" t="s">
        <v>112</v>
      </c>
      <c r="G85" t="s">
        <v>96</v>
      </c>
      <c r="H85" t="s">
        <v>22</v>
      </c>
      <c r="I85" t="s">
        <v>39</v>
      </c>
      <c r="J85">
        <v>14</v>
      </c>
      <c r="K85" s="2">
        <v>14000</v>
      </c>
      <c r="L85" s="3">
        <v>0.05</v>
      </c>
      <c r="M85" s="2">
        <v>186200</v>
      </c>
      <c r="N85" s="2">
        <v>180449.88</v>
      </c>
      <c r="O85" s="3">
        <v>1.0319</v>
      </c>
      <c r="P85" t="s">
        <v>24</v>
      </c>
    </row>
    <row r="86" spans="1:16" x14ac:dyDescent="0.3">
      <c r="A86" t="s">
        <v>171</v>
      </c>
      <c r="B86" s="1">
        <v>46127</v>
      </c>
      <c r="C86" t="s">
        <v>57</v>
      </c>
      <c r="D86" t="s">
        <v>63</v>
      </c>
      <c r="E86" t="s">
        <v>64</v>
      </c>
      <c r="F86" t="s">
        <v>65</v>
      </c>
      <c r="G86" t="s">
        <v>66</v>
      </c>
      <c r="H86" t="s">
        <v>48</v>
      </c>
      <c r="I86" t="s">
        <v>90</v>
      </c>
      <c r="J86">
        <v>11</v>
      </c>
      <c r="K86" s="2">
        <v>1800</v>
      </c>
      <c r="L86" s="3">
        <v>0</v>
      </c>
      <c r="M86" s="2">
        <v>19800</v>
      </c>
      <c r="N86" s="2">
        <v>18502.599999999999</v>
      </c>
      <c r="O86" s="3">
        <v>1.0701000000000001</v>
      </c>
      <c r="P86" t="s">
        <v>36</v>
      </c>
    </row>
    <row r="87" spans="1:16" x14ac:dyDescent="0.3">
      <c r="A87" t="s">
        <v>172</v>
      </c>
      <c r="B87" s="1">
        <v>46027</v>
      </c>
      <c r="C87" t="s">
        <v>51</v>
      </c>
      <c r="D87" t="s">
        <v>52</v>
      </c>
      <c r="E87" t="s">
        <v>53</v>
      </c>
      <c r="F87" t="s">
        <v>54</v>
      </c>
      <c r="G87" t="s">
        <v>98</v>
      </c>
      <c r="H87" t="s">
        <v>34</v>
      </c>
      <c r="I87" t="s">
        <v>73</v>
      </c>
      <c r="J87">
        <v>27</v>
      </c>
      <c r="K87" s="2">
        <v>2800</v>
      </c>
      <c r="L87" s="3">
        <v>0.1</v>
      </c>
      <c r="M87" s="2">
        <v>68040</v>
      </c>
      <c r="N87" s="2">
        <v>68506.83</v>
      </c>
      <c r="O87" s="3">
        <v>0.99319999999999997</v>
      </c>
      <c r="P87" t="s">
        <v>42</v>
      </c>
    </row>
    <row r="88" spans="1:16" x14ac:dyDescent="0.3">
      <c r="A88" t="s">
        <v>173</v>
      </c>
      <c r="B88" s="1">
        <v>46117</v>
      </c>
      <c r="C88" t="s">
        <v>57</v>
      </c>
      <c r="D88" t="s">
        <v>63</v>
      </c>
      <c r="E88" t="s">
        <v>80</v>
      </c>
      <c r="F88" t="s">
        <v>81</v>
      </c>
      <c r="G88" t="s">
        <v>82</v>
      </c>
      <c r="H88" t="s">
        <v>34</v>
      </c>
      <c r="I88" t="s">
        <v>35</v>
      </c>
      <c r="J88">
        <v>12</v>
      </c>
      <c r="K88" s="2">
        <v>3500</v>
      </c>
      <c r="L88" s="3">
        <v>0.05</v>
      </c>
      <c r="M88" s="2">
        <v>39900</v>
      </c>
      <c r="N88" s="2">
        <v>43187.199999999997</v>
      </c>
      <c r="O88" s="3">
        <v>0.92390000000000005</v>
      </c>
      <c r="P88" t="s">
        <v>36</v>
      </c>
    </row>
    <row r="89" spans="1:16" x14ac:dyDescent="0.3">
      <c r="A89" t="s">
        <v>174</v>
      </c>
      <c r="B89" s="1">
        <v>46087</v>
      </c>
      <c r="C89" t="s">
        <v>62</v>
      </c>
      <c r="D89" t="s">
        <v>63</v>
      </c>
      <c r="E89" t="s">
        <v>119</v>
      </c>
      <c r="F89" t="s">
        <v>120</v>
      </c>
      <c r="G89" t="s">
        <v>122</v>
      </c>
      <c r="H89" t="s">
        <v>22</v>
      </c>
      <c r="I89" t="s">
        <v>39</v>
      </c>
      <c r="J89">
        <v>13</v>
      </c>
      <c r="K89" s="2">
        <v>14000</v>
      </c>
      <c r="L89" s="3">
        <v>0.1</v>
      </c>
      <c r="M89" s="2">
        <v>163800</v>
      </c>
      <c r="N89" s="2">
        <v>154761.64000000001</v>
      </c>
      <c r="O89" s="3">
        <v>1.0584</v>
      </c>
      <c r="P89" t="s">
        <v>42</v>
      </c>
    </row>
    <row r="90" spans="1:16" x14ac:dyDescent="0.3">
      <c r="A90" t="s">
        <v>175</v>
      </c>
      <c r="B90" s="1">
        <v>46212</v>
      </c>
      <c r="C90" t="s">
        <v>38</v>
      </c>
      <c r="D90" t="s">
        <v>18</v>
      </c>
      <c r="E90" t="s">
        <v>27</v>
      </c>
      <c r="F90" t="s">
        <v>28</v>
      </c>
      <c r="G90" t="s">
        <v>33</v>
      </c>
      <c r="H90" t="s">
        <v>22</v>
      </c>
      <c r="I90" t="s">
        <v>39</v>
      </c>
      <c r="J90">
        <v>3</v>
      </c>
      <c r="K90" s="2">
        <v>14000</v>
      </c>
      <c r="L90" s="3">
        <v>0</v>
      </c>
      <c r="M90" s="2">
        <v>42000</v>
      </c>
      <c r="N90" s="2">
        <v>38515.65</v>
      </c>
      <c r="O90" s="3">
        <v>1.0905</v>
      </c>
      <c r="P90" t="s">
        <v>36</v>
      </c>
    </row>
    <row r="91" spans="1:16" x14ac:dyDescent="0.3">
      <c r="A91" t="s">
        <v>176</v>
      </c>
      <c r="B91" s="1">
        <v>46115</v>
      </c>
      <c r="C91" t="s">
        <v>57</v>
      </c>
      <c r="D91" t="s">
        <v>63</v>
      </c>
      <c r="E91" t="s">
        <v>64</v>
      </c>
      <c r="F91" t="s">
        <v>65</v>
      </c>
      <c r="G91" t="s">
        <v>122</v>
      </c>
      <c r="H91" t="s">
        <v>30</v>
      </c>
      <c r="I91" t="s">
        <v>41</v>
      </c>
      <c r="J91">
        <v>15</v>
      </c>
      <c r="K91" s="2">
        <v>18000</v>
      </c>
      <c r="L91" s="3">
        <v>0</v>
      </c>
      <c r="M91" s="2">
        <v>270000</v>
      </c>
      <c r="N91" s="2">
        <v>257495.29</v>
      </c>
      <c r="O91" s="3">
        <v>1.0486</v>
      </c>
      <c r="P91" t="s">
        <v>42</v>
      </c>
    </row>
    <row r="92" spans="1:16" x14ac:dyDescent="0.3">
      <c r="A92" t="s">
        <v>177</v>
      </c>
      <c r="B92" s="1">
        <v>46201</v>
      </c>
      <c r="C92" t="s">
        <v>17</v>
      </c>
      <c r="D92" t="s">
        <v>63</v>
      </c>
      <c r="E92" t="s">
        <v>80</v>
      </c>
      <c r="F92" t="s">
        <v>81</v>
      </c>
      <c r="G92" t="s">
        <v>92</v>
      </c>
      <c r="H92" t="s">
        <v>22</v>
      </c>
      <c r="I92" t="s">
        <v>104</v>
      </c>
      <c r="J92">
        <v>2</v>
      </c>
      <c r="K92" s="2">
        <v>22000</v>
      </c>
      <c r="L92" s="3">
        <v>0</v>
      </c>
      <c r="M92" s="2">
        <v>44000</v>
      </c>
      <c r="N92" s="2">
        <v>45921.73</v>
      </c>
      <c r="O92" s="3">
        <v>0.95820000000000005</v>
      </c>
      <c r="P92" t="s">
        <v>42</v>
      </c>
    </row>
    <row r="93" spans="1:16" x14ac:dyDescent="0.3">
      <c r="A93" t="s">
        <v>178</v>
      </c>
      <c r="B93" s="1">
        <v>46110</v>
      </c>
      <c r="C93" t="s">
        <v>62</v>
      </c>
      <c r="D93" t="s">
        <v>44</v>
      </c>
      <c r="E93" t="s">
        <v>85</v>
      </c>
      <c r="F93" t="s">
        <v>86</v>
      </c>
      <c r="G93" t="s">
        <v>47</v>
      </c>
      <c r="H93" t="s">
        <v>34</v>
      </c>
      <c r="I93" t="s">
        <v>67</v>
      </c>
      <c r="J93">
        <v>14</v>
      </c>
      <c r="K93" s="2">
        <v>1500</v>
      </c>
      <c r="L93" s="3">
        <v>0.1</v>
      </c>
      <c r="M93" s="2">
        <v>18900</v>
      </c>
      <c r="N93" s="2">
        <v>19231.689999999999</v>
      </c>
      <c r="O93" s="3">
        <v>0.98280000000000001</v>
      </c>
      <c r="P93" t="s">
        <v>42</v>
      </c>
    </row>
    <row r="94" spans="1:16" x14ac:dyDescent="0.3">
      <c r="A94" t="s">
        <v>179</v>
      </c>
      <c r="B94" s="1">
        <v>46041</v>
      </c>
      <c r="C94" t="s">
        <v>51</v>
      </c>
      <c r="D94" t="s">
        <v>18</v>
      </c>
      <c r="E94" t="s">
        <v>58</v>
      </c>
      <c r="F94" t="s">
        <v>59</v>
      </c>
      <c r="G94" t="s">
        <v>29</v>
      </c>
      <c r="H94" t="s">
        <v>30</v>
      </c>
      <c r="I94" t="s">
        <v>41</v>
      </c>
      <c r="J94">
        <v>15</v>
      </c>
      <c r="K94" s="2">
        <v>18000</v>
      </c>
      <c r="L94" s="3">
        <v>0</v>
      </c>
      <c r="M94" s="2">
        <v>270000</v>
      </c>
      <c r="N94" s="2">
        <v>267366.84999999998</v>
      </c>
      <c r="O94" s="3">
        <v>1.0098</v>
      </c>
      <c r="P94" t="s">
        <v>24</v>
      </c>
    </row>
    <row r="95" spans="1:16" x14ac:dyDescent="0.3">
      <c r="A95" t="s">
        <v>180</v>
      </c>
      <c r="B95" s="1">
        <v>46053</v>
      </c>
      <c r="C95" t="s">
        <v>51</v>
      </c>
      <c r="D95" t="s">
        <v>18</v>
      </c>
      <c r="E95" t="s">
        <v>19</v>
      </c>
      <c r="F95" t="s">
        <v>20</v>
      </c>
      <c r="G95" t="s">
        <v>33</v>
      </c>
      <c r="H95" t="s">
        <v>34</v>
      </c>
      <c r="I95" t="s">
        <v>67</v>
      </c>
      <c r="J95">
        <v>14</v>
      </c>
      <c r="K95" s="2">
        <v>1500</v>
      </c>
      <c r="L95" s="3">
        <v>0</v>
      </c>
      <c r="M95" s="2">
        <v>21000</v>
      </c>
      <c r="N95" s="2">
        <v>25155.3</v>
      </c>
      <c r="O95" s="3">
        <v>0.83479999999999999</v>
      </c>
      <c r="P95" t="s">
        <v>24</v>
      </c>
    </row>
    <row r="96" spans="1:16" x14ac:dyDescent="0.3">
      <c r="A96" t="s">
        <v>181</v>
      </c>
      <c r="B96" s="1">
        <v>46099</v>
      </c>
      <c r="C96" t="s">
        <v>62</v>
      </c>
      <c r="D96" t="s">
        <v>44</v>
      </c>
      <c r="E96" t="s">
        <v>45</v>
      </c>
      <c r="F96" t="s">
        <v>46</v>
      </c>
      <c r="G96" t="s">
        <v>114</v>
      </c>
      <c r="H96" t="s">
        <v>48</v>
      </c>
      <c r="I96" t="s">
        <v>90</v>
      </c>
      <c r="J96">
        <v>17</v>
      </c>
      <c r="K96" s="2">
        <v>1800</v>
      </c>
      <c r="L96" s="3">
        <v>0.1</v>
      </c>
      <c r="M96" s="2">
        <v>27540</v>
      </c>
      <c r="N96" s="2">
        <v>32166.07</v>
      </c>
      <c r="O96" s="3">
        <v>0.85619999999999996</v>
      </c>
      <c r="P96" t="s">
        <v>24</v>
      </c>
    </row>
    <row r="97" spans="1:16" x14ac:dyDescent="0.3">
      <c r="A97" t="s">
        <v>182</v>
      </c>
      <c r="B97" s="1">
        <v>46076</v>
      </c>
      <c r="C97" t="s">
        <v>79</v>
      </c>
      <c r="D97" t="s">
        <v>44</v>
      </c>
      <c r="E97" t="s">
        <v>70</v>
      </c>
      <c r="F97" t="s">
        <v>71</v>
      </c>
      <c r="G97" t="s">
        <v>47</v>
      </c>
      <c r="H97" t="s">
        <v>34</v>
      </c>
      <c r="I97" t="s">
        <v>67</v>
      </c>
      <c r="J97">
        <v>28</v>
      </c>
      <c r="K97" s="2">
        <v>1500</v>
      </c>
      <c r="L97" s="3">
        <v>0</v>
      </c>
      <c r="M97" s="2">
        <v>42000</v>
      </c>
      <c r="N97" s="2">
        <v>49629.58</v>
      </c>
      <c r="O97" s="3">
        <v>0.84630000000000005</v>
      </c>
      <c r="P97" t="s">
        <v>24</v>
      </c>
    </row>
    <row r="98" spans="1:16" x14ac:dyDescent="0.3">
      <c r="A98" t="s">
        <v>183</v>
      </c>
      <c r="B98" s="1">
        <v>46063</v>
      </c>
      <c r="C98" t="s">
        <v>79</v>
      </c>
      <c r="D98" t="s">
        <v>52</v>
      </c>
      <c r="E98" t="s">
        <v>111</v>
      </c>
      <c r="F98" t="s">
        <v>112</v>
      </c>
      <c r="G98" t="s">
        <v>55</v>
      </c>
      <c r="H98" t="s">
        <v>30</v>
      </c>
      <c r="I98" t="s">
        <v>93</v>
      </c>
      <c r="J98">
        <v>5</v>
      </c>
      <c r="K98" s="2">
        <v>15000</v>
      </c>
      <c r="L98" s="3">
        <v>0</v>
      </c>
      <c r="M98" s="2">
        <v>75000</v>
      </c>
      <c r="N98" s="2">
        <v>78239.8</v>
      </c>
      <c r="O98" s="3">
        <v>0.95860000000000001</v>
      </c>
      <c r="P98" t="s">
        <v>42</v>
      </c>
    </row>
    <row r="99" spans="1:16" x14ac:dyDescent="0.3">
      <c r="A99" t="s">
        <v>184</v>
      </c>
      <c r="B99" s="1">
        <v>46095</v>
      </c>
      <c r="C99" t="s">
        <v>62</v>
      </c>
      <c r="D99" t="s">
        <v>44</v>
      </c>
      <c r="E99" t="s">
        <v>70</v>
      </c>
      <c r="F99" t="s">
        <v>71</v>
      </c>
      <c r="G99" t="s">
        <v>101</v>
      </c>
      <c r="H99" t="s">
        <v>22</v>
      </c>
      <c r="I99" t="s">
        <v>104</v>
      </c>
      <c r="J99">
        <v>2</v>
      </c>
      <c r="K99" s="2">
        <v>22000</v>
      </c>
      <c r="L99" s="3">
        <v>0</v>
      </c>
      <c r="M99" s="2">
        <v>44000</v>
      </c>
      <c r="N99" s="2">
        <v>41836.82</v>
      </c>
      <c r="O99" s="3">
        <v>1.0517000000000001</v>
      </c>
      <c r="P99" t="s">
        <v>24</v>
      </c>
    </row>
    <row r="100" spans="1:16" x14ac:dyDescent="0.3">
      <c r="A100" t="s">
        <v>185</v>
      </c>
      <c r="B100" s="1">
        <v>46162</v>
      </c>
      <c r="C100" t="s">
        <v>26</v>
      </c>
      <c r="D100" t="s">
        <v>44</v>
      </c>
      <c r="E100" t="s">
        <v>85</v>
      </c>
      <c r="F100" t="s">
        <v>86</v>
      </c>
      <c r="G100" t="s">
        <v>114</v>
      </c>
      <c r="H100" t="s">
        <v>22</v>
      </c>
      <c r="I100" t="s">
        <v>104</v>
      </c>
      <c r="J100">
        <v>14</v>
      </c>
      <c r="K100" s="2">
        <v>22000</v>
      </c>
      <c r="L100" s="3">
        <v>0</v>
      </c>
      <c r="M100" s="2">
        <v>308000</v>
      </c>
      <c r="N100" s="2">
        <v>307629.98</v>
      </c>
      <c r="O100" s="3">
        <v>1.0012000000000001</v>
      </c>
      <c r="P100" t="s">
        <v>42</v>
      </c>
    </row>
    <row r="101" spans="1:16" x14ac:dyDescent="0.3">
      <c r="A101" t="s">
        <v>186</v>
      </c>
      <c r="B101" s="1">
        <v>46175</v>
      </c>
      <c r="C101" t="s">
        <v>17</v>
      </c>
      <c r="D101" t="s">
        <v>52</v>
      </c>
      <c r="E101" t="s">
        <v>111</v>
      </c>
      <c r="F101" t="s">
        <v>112</v>
      </c>
      <c r="G101" t="s">
        <v>96</v>
      </c>
      <c r="H101" t="s">
        <v>30</v>
      </c>
      <c r="I101" t="s">
        <v>41</v>
      </c>
      <c r="J101">
        <v>2</v>
      </c>
      <c r="K101" s="2">
        <v>18000</v>
      </c>
      <c r="L101" s="3">
        <v>0</v>
      </c>
      <c r="M101" s="2">
        <v>36000</v>
      </c>
      <c r="N101" s="2">
        <v>40587.120000000003</v>
      </c>
      <c r="O101" s="3">
        <v>0.88700000000000001</v>
      </c>
      <c r="P101" t="s">
        <v>24</v>
      </c>
    </row>
    <row r="102" spans="1:16" x14ac:dyDescent="0.3">
      <c r="A102" t="s">
        <v>187</v>
      </c>
      <c r="B102" s="1">
        <v>46264</v>
      </c>
      <c r="C102" t="s">
        <v>69</v>
      </c>
      <c r="D102" t="s">
        <v>63</v>
      </c>
      <c r="E102" t="s">
        <v>119</v>
      </c>
      <c r="F102" t="s">
        <v>120</v>
      </c>
      <c r="G102" t="s">
        <v>66</v>
      </c>
      <c r="H102" t="s">
        <v>48</v>
      </c>
      <c r="I102" t="s">
        <v>60</v>
      </c>
      <c r="J102">
        <v>27</v>
      </c>
      <c r="K102" s="2">
        <v>2500</v>
      </c>
      <c r="L102" s="3">
        <v>0.05</v>
      </c>
      <c r="M102" s="2">
        <v>64125</v>
      </c>
      <c r="N102" s="2">
        <v>70210.899999999994</v>
      </c>
      <c r="O102" s="3">
        <v>0.9133</v>
      </c>
      <c r="P102" t="s">
        <v>36</v>
      </c>
    </row>
    <row r="103" spans="1:16" x14ac:dyDescent="0.3">
      <c r="A103" t="s">
        <v>188</v>
      </c>
      <c r="B103" s="1">
        <v>46177</v>
      </c>
      <c r="C103" t="s">
        <v>17</v>
      </c>
      <c r="D103" t="s">
        <v>44</v>
      </c>
      <c r="E103" t="s">
        <v>70</v>
      </c>
      <c r="F103" t="s">
        <v>71</v>
      </c>
      <c r="G103" t="s">
        <v>47</v>
      </c>
      <c r="H103" t="s">
        <v>34</v>
      </c>
      <c r="I103" t="s">
        <v>67</v>
      </c>
      <c r="J103">
        <v>6</v>
      </c>
      <c r="K103" s="2">
        <v>1500</v>
      </c>
      <c r="L103" s="3">
        <v>0.1</v>
      </c>
      <c r="M103" s="2">
        <v>8100</v>
      </c>
      <c r="N103" s="2">
        <v>8967.4</v>
      </c>
      <c r="O103" s="3">
        <v>0.90329999999999999</v>
      </c>
      <c r="P103" t="s">
        <v>36</v>
      </c>
    </row>
    <row r="104" spans="1:16" x14ac:dyDescent="0.3">
      <c r="A104" t="s">
        <v>189</v>
      </c>
      <c r="B104" s="1">
        <v>46195</v>
      </c>
      <c r="C104" t="s">
        <v>17</v>
      </c>
      <c r="D104" t="s">
        <v>18</v>
      </c>
      <c r="E104" t="s">
        <v>19</v>
      </c>
      <c r="F104" t="s">
        <v>20</v>
      </c>
      <c r="G104" t="s">
        <v>33</v>
      </c>
      <c r="H104" t="s">
        <v>34</v>
      </c>
      <c r="I104" t="s">
        <v>73</v>
      </c>
      <c r="J104">
        <v>23</v>
      </c>
      <c r="K104" s="2">
        <v>2800</v>
      </c>
      <c r="L104" s="3">
        <v>0</v>
      </c>
      <c r="M104" s="2">
        <v>64400</v>
      </c>
      <c r="N104" s="2">
        <v>77270.36</v>
      </c>
      <c r="O104" s="3">
        <v>0.83340000000000003</v>
      </c>
      <c r="P104" t="s">
        <v>36</v>
      </c>
    </row>
    <row r="105" spans="1:16" x14ac:dyDescent="0.3">
      <c r="A105" t="s">
        <v>190</v>
      </c>
      <c r="B105" s="1">
        <v>46069</v>
      </c>
      <c r="C105" t="s">
        <v>79</v>
      </c>
      <c r="D105" t="s">
        <v>18</v>
      </c>
      <c r="E105" t="s">
        <v>19</v>
      </c>
      <c r="F105" t="s">
        <v>20</v>
      </c>
      <c r="G105" t="s">
        <v>29</v>
      </c>
      <c r="H105" t="s">
        <v>48</v>
      </c>
      <c r="I105" t="s">
        <v>90</v>
      </c>
      <c r="J105">
        <v>25</v>
      </c>
      <c r="K105" s="2">
        <v>1800</v>
      </c>
      <c r="L105" s="3">
        <v>0.1</v>
      </c>
      <c r="M105" s="2">
        <v>40500</v>
      </c>
      <c r="N105" s="2">
        <v>47410.33</v>
      </c>
      <c r="O105" s="3">
        <v>0.85419999999999996</v>
      </c>
      <c r="P105" t="s">
        <v>24</v>
      </c>
    </row>
    <row r="106" spans="1:16" x14ac:dyDescent="0.3">
      <c r="A106" t="s">
        <v>191</v>
      </c>
      <c r="B106" s="1">
        <v>46105</v>
      </c>
      <c r="C106" t="s">
        <v>62</v>
      </c>
      <c r="D106" t="s">
        <v>44</v>
      </c>
      <c r="E106" t="s">
        <v>45</v>
      </c>
      <c r="F106" t="s">
        <v>46</v>
      </c>
      <c r="G106" t="s">
        <v>101</v>
      </c>
      <c r="H106" t="s">
        <v>30</v>
      </c>
      <c r="I106" t="s">
        <v>41</v>
      </c>
      <c r="J106">
        <v>9</v>
      </c>
      <c r="K106" s="2">
        <v>18000</v>
      </c>
      <c r="L106" s="3">
        <v>0.05</v>
      </c>
      <c r="M106" s="2">
        <v>153900</v>
      </c>
      <c r="N106" s="2">
        <v>152810.67000000001</v>
      </c>
      <c r="O106" s="3">
        <v>1.0071000000000001</v>
      </c>
      <c r="P106" t="s">
        <v>24</v>
      </c>
    </row>
    <row r="107" spans="1:16" x14ac:dyDescent="0.3">
      <c r="A107" t="s">
        <v>192</v>
      </c>
      <c r="B107" s="1">
        <v>46264</v>
      </c>
      <c r="C107" t="s">
        <v>69</v>
      </c>
      <c r="D107" t="s">
        <v>18</v>
      </c>
      <c r="E107" t="s">
        <v>19</v>
      </c>
      <c r="F107" t="s">
        <v>20</v>
      </c>
      <c r="G107" t="s">
        <v>21</v>
      </c>
      <c r="H107" t="s">
        <v>48</v>
      </c>
      <c r="I107" t="s">
        <v>49</v>
      </c>
      <c r="J107">
        <v>27</v>
      </c>
      <c r="K107" s="2">
        <v>1200</v>
      </c>
      <c r="L107" s="3">
        <v>0.1</v>
      </c>
      <c r="M107" s="2">
        <v>29160</v>
      </c>
      <c r="N107" s="2">
        <v>27727.55</v>
      </c>
      <c r="O107" s="3">
        <v>1.0517000000000001</v>
      </c>
      <c r="P107" t="s">
        <v>36</v>
      </c>
    </row>
    <row r="108" spans="1:16" x14ac:dyDescent="0.3">
      <c r="A108" t="s">
        <v>193</v>
      </c>
      <c r="B108" s="1">
        <v>46220</v>
      </c>
      <c r="C108" t="s">
        <v>38</v>
      </c>
      <c r="D108" t="s">
        <v>18</v>
      </c>
      <c r="E108" t="s">
        <v>58</v>
      </c>
      <c r="F108" t="s">
        <v>59</v>
      </c>
      <c r="G108" t="s">
        <v>130</v>
      </c>
      <c r="H108" t="s">
        <v>22</v>
      </c>
      <c r="I108" t="s">
        <v>39</v>
      </c>
      <c r="J108">
        <v>6</v>
      </c>
      <c r="K108" s="2">
        <v>14000</v>
      </c>
      <c r="L108" s="3">
        <v>0.05</v>
      </c>
      <c r="M108" s="2">
        <v>79800</v>
      </c>
      <c r="N108" s="2">
        <v>71067.69</v>
      </c>
      <c r="O108" s="3">
        <v>1.1229</v>
      </c>
      <c r="P108" t="s">
        <v>36</v>
      </c>
    </row>
    <row r="109" spans="1:16" x14ac:dyDescent="0.3">
      <c r="A109" t="s">
        <v>194</v>
      </c>
      <c r="B109" s="1">
        <v>46182</v>
      </c>
      <c r="C109" t="s">
        <v>17</v>
      </c>
      <c r="D109" t="s">
        <v>18</v>
      </c>
      <c r="E109" t="s">
        <v>27</v>
      </c>
      <c r="F109" t="s">
        <v>28</v>
      </c>
      <c r="G109" t="s">
        <v>29</v>
      </c>
      <c r="H109" t="s">
        <v>48</v>
      </c>
      <c r="I109" t="s">
        <v>49</v>
      </c>
      <c r="J109">
        <v>6</v>
      </c>
      <c r="K109" s="2">
        <v>1200</v>
      </c>
      <c r="L109" s="3">
        <v>0</v>
      </c>
      <c r="M109" s="2">
        <v>7200</v>
      </c>
      <c r="N109" s="2">
        <v>7426.47</v>
      </c>
      <c r="O109" s="3">
        <v>0.96950000000000003</v>
      </c>
      <c r="P109" t="s">
        <v>36</v>
      </c>
    </row>
    <row r="110" spans="1:16" x14ac:dyDescent="0.3">
      <c r="A110" t="s">
        <v>195</v>
      </c>
      <c r="B110" s="1">
        <v>46135</v>
      </c>
      <c r="C110" t="s">
        <v>57</v>
      </c>
      <c r="D110" t="s">
        <v>44</v>
      </c>
      <c r="E110" t="s">
        <v>85</v>
      </c>
      <c r="F110" t="s">
        <v>86</v>
      </c>
      <c r="G110" t="s">
        <v>114</v>
      </c>
      <c r="H110" t="s">
        <v>22</v>
      </c>
      <c r="I110" t="s">
        <v>104</v>
      </c>
      <c r="J110">
        <v>10</v>
      </c>
      <c r="K110" s="2">
        <v>22000</v>
      </c>
      <c r="L110" s="3">
        <v>0</v>
      </c>
      <c r="M110" s="2">
        <v>220000</v>
      </c>
      <c r="N110" s="2">
        <v>258430.8</v>
      </c>
      <c r="O110" s="3">
        <v>0.85129999999999995</v>
      </c>
      <c r="P110" t="s">
        <v>24</v>
      </c>
    </row>
    <row r="111" spans="1:16" x14ac:dyDescent="0.3">
      <c r="A111" t="s">
        <v>196</v>
      </c>
      <c r="B111" s="1">
        <v>46102</v>
      </c>
      <c r="C111" t="s">
        <v>62</v>
      </c>
      <c r="D111" t="s">
        <v>44</v>
      </c>
      <c r="E111" t="s">
        <v>85</v>
      </c>
      <c r="F111" t="s">
        <v>86</v>
      </c>
      <c r="G111" t="s">
        <v>47</v>
      </c>
      <c r="H111" t="s">
        <v>34</v>
      </c>
      <c r="I111" t="s">
        <v>73</v>
      </c>
      <c r="J111">
        <v>24</v>
      </c>
      <c r="K111" s="2">
        <v>2800</v>
      </c>
      <c r="L111" s="3">
        <v>0</v>
      </c>
      <c r="M111" s="2">
        <v>67200</v>
      </c>
      <c r="N111" s="2">
        <v>73814.09</v>
      </c>
      <c r="O111" s="3">
        <v>0.91039999999999999</v>
      </c>
      <c r="P111" t="s">
        <v>24</v>
      </c>
    </row>
    <row r="112" spans="1:16" x14ac:dyDescent="0.3">
      <c r="A112" t="s">
        <v>197</v>
      </c>
      <c r="B112" s="1">
        <v>46053</v>
      </c>
      <c r="C112" t="s">
        <v>51</v>
      </c>
      <c r="D112" t="s">
        <v>18</v>
      </c>
      <c r="E112" t="s">
        <v>27</v>
      </c>
      <c r="F112" t="s">
        <v>28</v>
      </c>
      <c r="G112" t="s">
        <v>29</v>
      </c>
      <c r="H112" t="s">
        <v>30</v>
      </c>
      <c r="I112" t="s">
        <v>41</v>
      </c>
      <c r="J112">
        <v>5</v>
      </c>
      <c r="K112" s="2">
        <v>18000</v>
      </c>
      <c r="L112" s="3">
        <v>0</v>
      </c>
      <c r="M112" s="2">
        <v>90000</v>
      </c>
      <c r="N112" s="2">
        <v>91035.61</v>
      </c>
      <c r="O112" s="3">
        <v>0.98860000000000003</v>
      </c>
      <c r="P112" t="s">
        <v>24</v>
      </c>
    </row>
    <row r="113" spans="1:16" x14ac:dyDescent="0.3">
      <c r="A113" t="s">
        <v>198</v>
      </c>
      <c r="B113" s="1">
        <v>46146</v>
      </c>
      <c r="C113" t="s">
        <v>26</v>
      </c>
      <c r="D113" t="s">
        <v>52</v>
      </c>
      <c r="E113" t="s">
        <v>111</v>
      </c>
      <c r="F113" t="s">
        <v>112</v>
      </c>
      <c r="G113" t="s">
        <v>77</v>
      </c>
      <c r="H113" t="s">
        <v>48</v>
      </c>
      <c r="I113" t="s">
        <v>90</v>
      </c>
      <c r="J113">
        <v>27</v>
      </c>
      <c r="K113" s="2">
        <v>1800</v>
      </c>
      <c r="L113" s="3">
        <v>0.05</v>
      </c>
      <c r="M113" s="2">
        <v>46170</v>
      </c>
      <c r="N113" s="2">
        <v>45958.62</v>
      </c>
      <c r="O113" s="3">
        <v>1.0045999999999999</v>
      </c>
      <c r="P113" t="s">
        <v>36</v>
      </c>
    </row>
    <row r="114" spans="1:16" x14ac:dyDescent="0.3">
      <c r="A114" t="s">
        <v>199</v>
      </c>
      <c r="B114" s="1">
        <v>46093</v>
      </c>
      <c r="C114" t="s">
        <v>62</v>
      </c>
      <c r="D114" t="s">
        <v>52</v>
      </c>
      <c r="E114" t="s">
        <v>111</v>
      </c>
      <c r="F114" t="s">
        <v>112</v>
      </c>
      <c r="G114" t="s">
        <v>96</v>
      </c>
      <c r="H114" t="s">
        <v>48</v>
      </c>
      <c r="I114" t="s">
        <v>49</v>
      </c>
      <c r="J114">
        <v>11</v>
      </c>
      <c r="K114" s="2">
        <v>1200</v>
      </c>
      <c r="L114" s="3">
        <v>0</v>
      </c>
      <c r="M114" s="2">
        <v>13200</v>
      </c>
      <c r="N114" s="2">
        <v>15211.8</v>
      </c>
      <c r="O114" s="3">
        <v>0.86770000000000003</v>
      </c>
      <c r="P114" t="s">
        <v>36</v>
      </c>
    </row>
    <row r="115" spans="1:16" x14ac:dyDescent="0.3">
      <c r="A115" t="s">
        <v>200</v>
      </c>
      <c r="B115" s="1">
        <v>46171</v>
      </c>
      <c r="C115" t="s">
        <v>26</v>
      </c>
      <c r="D115" t="s">
        <v>63</v>
      </c>
      <c r="E115" t="s">
        <v>64</v>
      </c>
      <c r="F115" t="s">
        <v>65</v>
      </c>
      <c r="G115" t="s">
        <v>122</v>
      </c>
      <c r="H115" t="s">
        <v>30</v>
      </c>
      <c r="I115" t="s">
        <v>31</v>
      </c>
      <c r="J115">
        <v>6</v>
      </c>
      <c r="K115" s="2">
        <v>55000</v>
      </c>
      <c r="L115" s="3">
        <v>0.05</v>
      </c>
      <c r="M115" s="2">
        <v>313500</v>
      </c>
      <c r="N115" s="2">
        <v>358367.05</v>
      </c>
      <c r="O115" s="3">
        <v>0.87480000000000002</v>
      </c>
      <c r="P115" t="s">
        <v>24</v>
      </c>
    </row>
    <row r="116" spans="1:16" x14ac:dyDescent="0.3">
      <c r="A116" t="s">
        <v>201</v>
      </c>
      <c r="B116" s="1">
        <v>46218</v>
      </c>
      <c r="C116" t="s">
        <v>38</v>
      </c>
      <c r="D116" t="s">
        <v>44</v>
      </c>
      <c r="E116" t="s">
        <v>85</v>
      </c>
      <c r="F116" t="s">
        <v>86</v>
      </c>
      <c r="G116" t="s">
        <v>101</v>
      </c>
      <c r="H116" t="s">
        <v>48</v>
      </c>
      <c r="I116" t="s">
        <v>90</v>
      </c>
      <c r="J116">
        <v>20</v>
      </c>
      <c r="K116" s="2">
        <v>1800</v>
      </c>
      <c r="L116" s="3">
        <v>0.05</v>
      </c>
      <c r="M116" s="2">
        <v>34200</v>
      </c>
      <c r="N116" s="2">
        <v>33049.31</v>
      </c>
      <c r="O116" s="3">
        <v>1.0347999999999999</v>
      </c>
      <c r="P116" t="s">
        <v>24</v>
      </c>
    </row>
    <row r="117" spans="1:16" x14ac:dyDescent="0.3">
      <c r="A117" t="s">
        <v>202</v>
      </c>
      <c r="B117" s="1">
        <v>46082</v>
      </c>
      <c r="C117" t="s">
        <v>62</v>
      </c>
      <c r="D117" t="s">
        <v>44</v>
      </c>
      <c r="E117" t="s">
        <v>70</v>
      </c>
      <c r="F117" t="s">
        <v>71</v>
      </c>
      <c r="G117" t="s">
        <v>72</v>
      </c>
      <c r="H117" t="s">
        <v>22</v>
      </c>
      <c r="I117" t="s">
        <v>23</v>
      </c>
      <c r="J117">
        <v>27</v>
      </c>
      <c r="K117" s="2">
        <v>8500</v>
      </c>
      <c r="L117" s="3">
        <v>0</v>
      </c>
      <c r="M117" s="2">
        <v>229500</v>
      </c>
      <c r="N117" s="2">
        <v>241004.65</v>
      </c>
      <c r="O117" s="3">
        <v>0.95230000000000004</v>
      </c>
      <c r="P117" t="s">
        <v>36</v>
      </c>
    </row>
    <row r="118" spans="1:16" x14ac:dyDescent="0.3">
      <c r="A118" t="s">
        <v>203</v>
      </c>
      <c r="B118" s="1">
        <v>46192</v>
      </c>
      <c r="C118" t="s">
        <v>17</v>
      </c>
      <c r="D118" t="s">
        <v>18</v>
      </c>
      <c r="E118" t="s">
        <v>58</v>
      </c>
      <c r="F118" t="s">
        <v>59</v>
      </c>
      <c r="G118" t="s">
        <v>29</v>
      </c>
      <c r="H118" t="s">
        <v>34</v>
      </c>
      <c r="I118" t="s">
        <v>35</v>
      </c>
      <c r="J118">
        <v>30</v>
      </c>
      <c r="K118" s="2">
        <v>3500</v>
      </c>
      <c r="L118" s="3">
        <v>0.1</v>
      </c>
      <c r="M118" s="2">
        <v>94500</v>
      </c>
      <c r="N118" s="2">
        <v>93094.55</v>
      </c>
      <c r="O118" s="3">
        <v>1.0150999999999999</v>
      </c>
      <c r="P118" t="s">
        <v>24</v>
      </c>
    </row>
    <row r="119" spans="1:16" x14ac:dyDescent="0.3">
      <c r="A119" t="s">
        <v>204</v>
      </c>
      <c r="B119" s="1">
        <v>46246</v>
      </c>
      <c r="C119" t="s">
        <v>69</v>
      </c>
      <c r="D119" t="s">
        <v>52</v>
      </c>
      <c r="E119" t="s">
        <v>111</v>
      </c>
      <c r="F119" t="s">
        <v>112</v>
      </c>
      <c r="G119" t="s">
        <v>55</v>
      </c>
      <c r="H119" t="s">
        <v>30</v>
      </c>
      <c r="I119" t="s">
        <v>93</v>
      </c>
      <c r="J119">
        <v>10</v>
      </c>
      <c r="K119" s="2">
        <v>15000</v>
      </c>
      <c r="L119" s="3">
        <v>0.05</v>
      </c>
      <c r="M119" s="2">
        <v>142500</v>
      </c>
      <c r="N119" s="2">
        <v>164501.29999999999</v>
      </c>
      <c r="O119" s="3">
        <v>0.86629999999999996</v>
      </c>
      <c r="P119" t="s">
        <v>36</v>
      </c>
    </row>
    <row r="120" spans="1:16" x14ac:dyDescent="0.3">
      <c r="A120" t="s">
        <v>205</v>
      </c>
      <c r="B120" s="1">
        <v>46190</v>
      </c>
      <c r="C120" t="s">
        <v>17</v>
      </c>
      <c r="D120" t="s">
        <v>18</v>
      </c>
      <c r="E120" t="s">
        <v>27</v>
      </c>
      <c r="F120" t="s">
        <v>28</v>
      </c>
      <c r="G120" t="s">
        <v>29</v>
      </c>
      <c r="H120" t="s">
        <v>30</v>
      </c>
      <c r="I120" t="s">
        <v>31</v>
      </c>
      <c r="J120">
        <v>13</v>
      </c>
      <c r="K120" s="2">
        <v>55000</v>
      </c>
      <c r="L120" s="3">
        <v>0</v>
      </c>
      <c r="M120" s="2">
        <v>715000</v>
      </c>
      <c r="N120" s="2">
        <v>710347.15</v>
      </c>
      <c r="O120" s="3">
        <v>1.0065999999999999</v>
      </c>
      <c r="P120" t="s">
        <v>42</v>
      </c>
    </row>
    <row r="121" spans="1:16" x14ac:dyDescent="0.3">
      <c r="A121" t="s">
        <v>206</v>
      </c>
      <c r="B121" s="1">
        <v>46241</v>
      </c>
      <c r="C121" t="s">
        <v>69</v>
      </c>
      <c r="D121" t="s">
        <v>18</v>
      </c>
      <c r="E121" t="s">
        <v>58</v>
      </c>
      <c r="F121" t="s">
        <v>59</v>
      </c>
      <c r="G121" t="s">
        <v>21</v>
      </c>
      <c r="H121" t="s">
        <v>22</v>
      </c>
      <c r="I121" t="s">
        <v>39</v>
      </c>
      <c r="J121">
        <v>11</v>
      </c>
      <c r="K121" s="2">
        <v>14000</v>
      </c>
      <c r="L121" s="3">
        <v>0.1</v>
      </c>
      <c r="M121" s="2">
        <v>138600</v>
      </c>
      <c r="N121" s="2">
        <v>149333.57999999999</v>
      </c>
      <c r="O121" s="3">
        <v>0.92810000000000004</v>
      </c>
      <c r="P121" t="s">
        <v>36</v>
      </c>
    </row>
    <row r="122" spans="1:16" x14ac:dyDescent="0.3">
      <c r="A122" t="s">
        <v>207</v>
      </c>
      <c r="B122" s="1">
        <v>46198</v>
      </c>
      <c r="C122" t="s">
        <v>17</v>
      </c>
      <c r="D122" t="s">
        <v>44</v>
      </c>
      <c r="E122" t="s">
        <v>70</v>
      </c>
      <c r="F122" t="s">
        <v>71</v>
      </c>
      <c r="G122" t="s">
        <v>101</v>
      </c>
      <c r="H122" t="s">
        <v>48</v>
      </c>
      <c r="I122" t="s">
        <v>90</v>
      </c>
      <c r="J122">
        <v>6</v>
      </c>
      <c r="K122" s="2">
        <v>1800</v>
      </c>
      <c r="L122" s="3">
        <v>0</v>
      </c>
      <c r="M122" s="2">
        <v>10800</v>
      </c>
      <c r="N122" s="2">
        <v>10067.43</v>
      </c>
      <c r="O122" s="3">
        <v>1.0728</v>
      </c>
      <c r="P122" t="s">
        <v>36</v>
      </c>
    </row>
    <row r="123" spans="1:16" x14ac:dyDescent="0.3">
      <c r="A123" t="s">
        <v>208</v>
      </c>
      <c r="B123" s="1">
        <v>46200</v>
      </c>
      <c r="C123" t="s">
        <v>17</v>
      </c>
      <c r="D123" t="s">
        <v>52</v>
      </c>
      <c r="E123" t="s">
        <v>53</v>
      </c>
      <c r="F123" t="s">
        <v>54</v>
      </c>
      <c r="G123" t="s">
        <v>55</v>
      </c>
      <c r="H123" t="s">
        <v>48</v>
      </c>
      <c r="I123" t="s">
        <v>49</v>
      </c>
      <c r="J123">
        <v>8</v>
      </c>
      <c r="K123" s="2">
        <v>1200</v>
      </c>
      <c r="L123" s="3">
        <v>0</v>
      </c>
      <c r="M123" s="2">
        <v>9600</v>
      </c>
      <c r="N123" s="2">
        <v>9650.76</v>
      </c>
      <c r="O123" s="3">
        <v>0.99470000000000003</v>
      </c>
      <c r="P123" t="s">
        <v>36</v>
      </c>
    </row>
    <row r="124" spans="1:16" x14ac:dyDescent="0.3">
      <c r="A124" t="s">
        <v>209</v>
      </c>
      <c r="B124" s="1">
        <v>46060</v>
      </c>
      <c r="C124" t="s">
        <v>79</v>
      </c>
      <c r="D124" t="s">
        <v>18</v>
      </c>
      <c r="E124" t="s">
        <v>19</v>
      </c>
      <c r="F124" t="s">
        <v>20</v>
      </c>
      <c r="G124" t="s">
        <v>21</v>
      </c>
      <c r="H124" t="s">
        <v>30</v>
      </c>
      <c r="I124" t="s">
        <v>31</v>
      </c>
      <c r="J124">
        <v>6</v>
      </c>
      <c r="K124" s="2">
        <v>55000</v>
      </c>
      <c r="L124" s="3">
        <v>0.05</v>
      </c>
      <c r="M124" s="2">
        <v>313500</v>
      </c>
      <c r="N124" s="2">
        <v>307604.44</v>
      </c>
      <c r="O124" s="3">
        <v>1.0192000000000001</v>
      </c>
      <c r="P124" t="s">
        <v>42</v>
      </c>
    </row>
    <row r="125" spans="1:16" x14ac:dyDescent="0.3">
      <c r="A125" t="s">
        <v>210</v>
      </c>
      <c r="B125" s="1">
        <v>46120</v>
      </c>
      <c r="C125" t="s">
        <v>57</v>
      </c>
      <c r="D125" t="s">
        <v>44</v>
      </c>
      <c r="E125" t="s">
        <v>45</v>
      </c>
      <c r="F125" t="s">
        <v>46</v>
      </c>
      <c r="G125" t="s">
        <v>114</v>
      </c>
      <c r="H125" t="s">
        <v>30</v>
      </c>
      <c r="I125" t="s">
        <v>93</v>
      </c>
      <c r="J125">
        <v>4</v>
      </c>
      <c r="K125" s="2">
        <v>15000</v>
      </c>
      <c r="L125" s="3">
        <v>0</v>
      </c>
      <c r="M125" s="2">
        <v>60000</v>
      </c>
      <c r="N125" s="2">
        <v>63799.33</v>
      </c>
      <c r="O125" s="3">
        <v>0.94040000000000001</v>
      </c>
      <c r="P125" t="s">
        <v>24</v>
      </c>
    </row>
    <row r="126" spans="1:16" x14ac:dyDescent="0.3">
      <c r="A126" t="s">
        <v>211</v>
      </c>
      <c r="B126" s="1">
        <v>46193</v>
      </c>
      <c r="C126" t="s">
        <v>17</v>
      </c>
      <c r="D126" t="s">
        <v>52</v>
      </c>
      <c r="E126" t="s">
        <v>111</v>
      </c>
      <c r="F126" t="s">
        <v>112</v>
      </c>
      <c r="G126" t="s">
        <v>96</v>
      </c>
      <c r="H126" t="s">
        <v>22</v>
      </c>
      <c r="I126" t="s">
        <v>23</v>
      </c>
      <c r="J126">
        <v>19</v>
      </c>
      <c r="K126" s="2">
        <v>8500</v>
      </c>
      <c r="L126" s="3">
        <v>0.05</v>
      </c>
      <c r="M126" s="2">
        <v>153425</v>
      </c>
      <c r="N126" s="2">
        <v>155089.60999999999</v>
      </c>
      <c r="O126" s="3">
        <v>0.98929999999999996</v>
      </c>
      <c r="P126" t="s">
        <v>42</v>
      </c>
    </row>
    <row r="127" spans="1:16" x14ac:dyDescent="0.3">
      <c r="A127" t="s">
        <v>212</v>
      </c>
      <c r="B127" s="1">
        <v>46099</v>
      </c>
      <c r="C127" t="s">
        <v>62</v>
      </c>
      <c r="D127" t="s">
        <v>44</v>
      </c>
      <c r="E127" t="s">
        <v>70</v>
      </c>
      <c r="F127" t="s">
        <v>71</v>
      </c>
      <c r="G127" t="s">
        <v>114</v>
      </c>
      <c r="H127" t="s">
        <v>30</v>
      </c>
      <c r="I127" t="s">
        <v>41</v>
      </c>
      <c r="J127">
        <v>9</v>
      </c>
      <c r="K127" s="2">
        <v>18000</v>
      </c>
      <c r="L127" s="3">
        <v>0.05</v>
      </c>
      <c r="M127" s="2">
        <v>153900</v>
      </c>
      <c r="N127" s="2">
        <v>184014.86</v>
      </c>
      <c r="O127" s="3">
        <v>0.83630000000000004</v>
      </c>
      <c r="P127" t="s">
        <v>24</v>
      </c>
    </row>
    <row r="128" spans="1:16" x14ac:dyDescent="0.3">
      <c r="A128" t="s">
        <v>213</v>
      </c>
      <c r="B128" s="1">
        <v>46241</v>
      </c>
      <c r="C128" t="s">
        <v>69</v>
      </c>
      <c r="D128" t="s">
        <v>44</v>
      </c>
      <c r="E128" t="s">
        <v>45</v>
      </c>
      <c r="F128" t="s">
        <v>46</v>
      </c>
      <c r="G128" t="s">
        <v>72</v>
      </c>
      <c r="H128" t="s">
        <v>48</v>
      </c>
      <c r="I128" t="s">
        <v>60</v>
      </c>
      <c r="J128">
        <v>14</v>
      </c>
      <c r="K128" s="2">
        <v>2500</v>
      </c>
      <c r="L128" s="3">
        <v>0</v>
      </c>
      <c r="M128" s="2">
        <v>35000</v>
      </c>
      <c r="N128" s="2">
        <v>41992.33</v>
      </c>
      <c r="O128" s="3">
        <v>0.83350000000000002</v>
      </c>
      <c r="P128" t="s">
        <v>36</v>
      </c>
    </row>
    <row r="129" spans="1:16" x14ac:dyDescent="0.3">
      <c r="A129" t="s">
        <v>214</v>
      </c>
      <c r="B129" s="1">
        <v>46098</v>
      </c>
      <c r="C129" t="s">
        <v>62</v>
      </c>
      <c r="D129" t="s">
        <v>18</v>
      </c>
      <c r="E129" t="s">
        <v>19</v>
      </c>
      <c r="F129" t="s">
        <v>20</v>
      </c>
      <c r="G129" t="s">
        <v>29</v>
      </c>
      <c r="H129" t="s">
        <v>34</v>
      </c>
      <c r="I129" t="s">
        <v>67</v>
      </c>
      <c r="J129">
        <v>16</v>
      </c>
      <c r="K129" s="2">
        <v>1500</v>
      </c>
      <c r="L129" s="3">
        <v>0.05</v>
      </c>
      <c r="M129" s="2">
        <v>22800</v>
      </c>
      <c r="N129" s="2">
        <v>27301.68</v>
      </c>
      <c r="O129" s="3">
        <v>0.83509999999999995</v>
      </c>
      <c r="P129" t="s">
        <v>42</v>
      </c>
    </row>
    <row r="130" spans="1:16" x14ac:dyDescent="0.3">
      <c r="A130" t="s">
        <v>215</v>
      </c>
      <c r="B130" s="1">
        <v>46213</v>
      </c>
      <c r="C130" t="s">
        <v>38</v>
      </c>
      <c r="D130" t="s">
        <v>44</v>
      </c>
      <c r="E130" t="s">
        <v>70</v>
      </c>
      <c r="F130" t="s">
        <v>71</v>
      </c>
      <c r="G130" t="s">
        <v>47</v>
      </c>
      <c r="H130" t="s">
        <v>34</v>
      </c>
      <c r="I130" t="s">
        <v>67</v>
      </c>
      <c r="J130">
        <v>26</v>
      </c>
      <c r="K130" s="2">
        <v>1500</v>
      </c>
      <c r="L130" s="3">
        <v>0</v>
      </c>
      <c r="M130" s="2">
        <v>39000</v>
      </c>
      <c r="N130" s="2">
        <v>45579.92</v>
      </c>
      <c r="O130" s="3">
        <v>0.85560000000000003</v>
      </c>
      <c r="P130" t="s">
        <v>36</v>
      </c>
    </row>
    <row r="131" spans="1:16" x14ac:dyDescent="0.3">
      <c r="A131" t="s">
        <v>216</v>
      </c>
      <c r="B131" s="1">
        <v>46196</v>
      </c>
      <c r="C131" t="s">
        <v>17</v>
      </c>
      <c r="D131" t="s">
        <v>63</v>
      </c>
      <c r="E131" t="s">
        <v>80</v>
      </c>
      <c r="F131" t="s">
        <v>81</v>
      </c>
      <c r="G131" t="s">
        <v>122</v>
      </c>
      <c r="H131" t="s">
        <v>22</v>
      </c>
      <c r="I131" t="s">
        <v>23</v>
      </c>
      <c r="J131">
        <v>25</v>
      </c>
      <c r="K131" s="2">
        <v>8500</v>
      </c>
      <c r="L131" s="3">
        <v>0</v>
      </c>
      <c r="M131" s="2">
        <v>212500</v>
      </c>
      <c r="N131" s="2">
        <v>226803.78</v>
      </c>
      <c r="O131" s="3">
        <v>0.93689999999999996</v>
      </c>
      <c r="P131" t="s">
        <v>24</v>
      </c>
    </row>
    <row r="132" spans="1:16" x14ac:dyDescent="0.3">
      <c r="A132" t="s">
        <v>217</v>
      </c>
      <c r="B132" s="1">
        <v>46135</v>
      </c>
      <c r="C132" t="s">
        <v>57</v>
      </c>
      <c r="D132" t="s">
        <v>52</v>
      </c>
      <c r="E132" t="s">
        <v>53</v>
      </c>
      <c r="F132" t="s">
        <v>54</v>
      </c>
      <c r="G132" t="s">
        <v>55</v>
      </c>
      <c r="H132" t="s">
        <v>34</v>
      </c>
      <c r="I132" t="s">
        <v>73</v>
      </c>
      <c r="J132">
        <v>25</v>
      </c>
      <c r="K132" s="2">
        <v>2800</v>
      </c>
      <c r="L132" s="3">
        <v>0</v>
      </c>
      <c r="M132" s="2">
        <v>70000</v>
      </c>
      <c r="N132" s="2">
        <v>67068.86</v>
      </c>
      <c r="O132" s="3">
        <v>1.0437000000000001</v>
      </c>
      <c r="P132" t="s">
        <v>42</v>
      </c>
    </row>
    <row r="133" spans="1:16" x14ac:dyDescent="0.3">
      <c r="A133" t="s">
        <v>218</v>
      </c>
      <c r="B133" s="1">
        <v>46067</v>
      </c>
      <c r="C133" t="s">
        <v>79</v>
      </c>
      <c r="D133" t="s">
        <v>63</v>
      </c>
      <c r="E133" t="s">
        <v>64</v>
      </c>
      <c r="F133" t="s">
        <v>65</v>
      </c>
      <c r="G133" t="s">
        <v>92</v>
      </c>
      <c r="H133" t="s">
        <v>30</v>
      </c>
      <c r="I133" t="s">
        <v>41</v>
      </c>
      <c r="J133">
        <v>6</v>
      </c>
      <c r="K133" s="2">
        <v>18000</v>
      </c>
      <c r="L133" s="3">
        <v>0.05</v>
      </c>
      <c r="M133" s="2">
        <v>102600</v>
      </c>
      <c r="N133" s="2">
        <v>114052.04</v>
      </c>
      <c r="O133" s="3">
        <v>0.89959999999999996</v>
      </c>
      <c r="P133" t="s">
        <v>42</v>
      </c>
    </row>
    <row r="134" spans="1:16" x14ac:dyDescent="0.3">
      <c r="A134" t="s">
        <v>219</v>
      </c>
      <c r="B134" s="1">
        <v>46088</v>
      </c>
      <c r="C134" t="s">
        <v>62</v>
      </c>
      <c r="D134" t="s">
        <v>52</v>
      </c>
      <c r="E134" t="s">
        <v>53</v>
      </c>
      <c r="F134" t="s">
        <v>54</v>
      </c>
      <c r="G134" t="s">
        <v>77</v>
      </c>
      <c r="H134" t="s">
        <v>48</v>
      </c>
      <c r="I134" t="s">
        <v>90</v>
      </c>
      <c r="J134">
        <v>21</v>
      </c>
      <c r="K134" s="2">
        <v>1800</v>
      </c>
      <c r="L134" s="3">
        <v>0.05</v>
      </c>
      <c r="M134" s="2">
        <v>35910</v>
      </c>
      <c r="N134" s="2">
        <v>40961.300000000003</v>
      </c>
      <c r="O134" s="3">
        <v>0.87670000000000003</v>
      </c>
      <c r="P134" t="s">
        <v>36</v>
      </c>
    </row>
    <row r="135" spans="1:16" x14ac:dyDescent="0.3">
      <c r="A135" t="s">
        <v>220</v>
      </c>
      <c r="B135" s="1">
        <v>46080</v>
      </c>
      <c r="C135" t="s">
        <v>79</v>
      </c>
      <c r="D135" t="s">
        <v>63</v>
      </c>
      <c r="E135" t="s">
        <v>64</v>
      </c>
      <c r="F135" t="s">
        <v>65</v>
      </c>
      <c r="G135" t="s">
        <v>122</v>
      </c>
      <c r="H135" t="s">
        <v>30</v>
      </c>
      <c r="I135" t="s">
        <v>41</v>
      </c>
      <c r="J135">
        <v>9</v>
      </c>
      <c r="K135" s="2">
        <v>18000</v>
      </c>
      <c r="L135" s="3">
        <v>0</v>
      </c>
      <c r="M135" s="2">
        <v>162000</v>
      </c>
      <c r="N135" s="2">
        <v>145680.92000000001</v>
      </c>
      <c r="O135" s="3">
        <v>1.1120000000000001</v>
      </c>
      <c r="P135" t="s">
        <v>24</v>
      </c>
    </row>
    <row r="136" spans="1:16" x14ac:dyDescent="0.3">
      <c r="A136" t="s">
        <v>221</v>
      </c>
      <c r="B136" s="1">
        <v>46160</v>
      </c>
      <c r="C136" t="s">
        <v>26</v>
      </c>
      <c r="D136" t="s">
        <v>44</v>
      </c>
      <c r="E136" t="s">
        <v>45</v>
      </c>
      <c r="F136" t="s">
        <v>46</v>
      </c>
      <c r="G136" t="s">
        <v>72</v>
      </c>
      <c r="H136" t="s">
        <v>30</v>
      </c>
      <c r="I136" t="s">
        <v>41</v>
      </c>
      <c r="J136">
        <v>14</v>
      </c>
      <c r="K136" s="2">
        <v>18000</v>
      </c>
      <c r="L136" s="3">
        <v>0.1</v>
      </c>
      <c r="M136" s="2">
        <v>226800</v>
      </c>
      <c r="N136" s="2">
        <v>193884.86</v>
      </c>
      <c r="O136" s="3">
        <v>1.1698</v>
      </c>
      <c r="P136" t="s">
        <v>42</v>
      </c>
    </row>
    <row r="137" spans="1:16" x14ac:dyDescent="0.3">
      <c r="A137" t="s">
        <v>222</v>
      </c>
      <c r="B137" s="1">
        <v>46082</v>
      </c>
      <c r="C137" t="s">
        <v>62</v>
      </c>
      <c r="D137" t="s">
        <v>44</v>
      </c>
      <c r="E137" t="s">
        <v>70</v>
      </c>
      <c r="F137" t="s">
        <v>71</v>
      </c>
      <c r="G137" t="s">
        <v>72</v>
      </c>
      <c r="H137" t="s">
        <v>34</v>
      </c>
      <c r="I137" t="s">
        <v>67</v>
      </c>
      <c r="J137">
        <v>17</v>
      </c>
      <c r="K137" s="2">
        <v>1500</v>
      </c>
      <c r="L137" s="3">
        <v>0.05</v>
      </c>
      <c r="M137" s="2">
        <v>24225</v>
      </c>
      <c r="N137" s="2">
        <v>21509.89</v>
      </c>
      <c r="O137" s="3">
        <v>1.1262000000000001</v>
      </c>
      <c r="P137" t="s">
        <v>36</v>
      </c>
    </row>
    <row r="138" spans="1:16" x14ac:dyDescent="0.3">
      <c r="A138" t="s">
        <v>223</v>
      </c>
      <c r="B138" s="1">
        <v>46141</v>
      </c>
      <c r="C138" t="s">
        <v>57</v>
      </c>
      <c r="D138" t="s">
        <v>18</v>
      </c>
      <c r="E138" t="s">
        <v>27</v>
      </c>
      <c r="F138" t="s">
        <v>28</v>
      </c>
      <c r="G138" t="s">
        <v>21</v>
      </c>
      <c r="H138" t="s">
        <v>34</v>
      </c>
      <c r="I138" t="s">
        <v>67</v>
      </c>
      <c r="J138">
        <v>12</v>
      </c>
      <c r="K138" s="2">
        <v>1500</v>
      </c>
      <c r="L138" s="3">
        <v>0</v>
      </c>
      <c r="M138" s="2">
        <v>18000</v>
      </c>
      <c r="N138" s="2">
        <v>19303.04</v>
      </c>
      <c r="O138" s="3">
        <v>0.9325</v>
      </c>
      <c r="P138" t="s">
        <v>24</v>
      </c>
    </row>
    <row r="139" spans="1:16" x14ac:dyDescent="0.3">
      <c r="A139" t="s">
        <v>224</v>
      </c>
      <c r="B139" s="1">
        <v>46100</v>
      </c>
      <c r="C139" t="s">
        <v>62</v>
      </c>
      <c r="D139" t="s">
        <v>63</v>
      </c>
      <c r="E139" t="s">
        <v>64</v>
      </c>
      <c r="F139" t="s">
        <v>65</v>
      </c>
      <c r="G139" t="s">
        <v>82</v>
      </c>
      <c r="H139" t="s">
        <v>30</v>
      </c>
      <c r="I139" t="s">
        <v>41</v>
      </c>
      <c r="J139">
        <v>4</v>
      </c>
      <c r="K139" s="2">
        <v>18000</v>
      </c>
      <c r="L139" s="3">
        <v>0</v>
      </c>
      <c r="M139" s="2">
        <v>72000</v>
      </c>
      <c r="N139" s="2">
        <v>85045.79</v>
      </c>
      <c r="O139" s="3">
        <v>0.84660000000000002</v>
      </c>
      <c r="P139" t="s">
        <v>36</v>
      </c>
    </row>
    <row r="140" spans="1:16" x14ac:dyDescent="0.3">
      <c r="A140" t="s">
        <v>225</v>
      </c>
      <c r="B140" s="1">
        <v>46194</v>
      </c>
      <c r="C140" t="s">
        <v>17</v>
      </c>
      <c r="D140" t="s">
        <v>18</v>
      </c>
      <c r="E140" t="s">
        <v>19</v>
      </c>
      <c r="F140" t="s">
        <v>20</v>
      </c>
      <c r="G140" t="s">
        <v>33</v>
      </c>
      <c r="H140" t="s">
        <v>48</v>
      </c>
      <c r="I140" t="s">
        <v>90</v>
      </c>
      <c r="J140">
        <v>9</v>
      </c>
      <c r="K140" s="2">
        <v>1800</v>
      </c>
      <c r="L140" s="3">
        <v>0.1</v>
      </c>
      <c r="M140" s="2">
        <v>14580</v>
      </c>
      <c r="N140" s="2">
        <v>14707.94</v>
      </c>
      <c r="O140" s="3">
        <v>0.99129999999999996</v>
      </c>
      <c r="P140" t="s">
        <v>24</v>
      </c>
    </row>
    <row r="141" spans="1:16" x14ac:dyDescent="0.3">
      <c r="A141" t="s">
        <v>226</v>
      </c>
      <c r="B141" s="1">
        <v>46180</v>
      </c>
      <c r="C141" t="s">
        <v>17</v>
      </c>
      <c r="D141" t="s">
        <v>44</v>
      </c>
      <c r="E141" t="s">
        <v>45</v>
      </c>
      <c r="F141" t="s">
        <v>46</v>
      </c>
      <c r="G141" t="s">
        <v>114</v>
      </c>
      <c r="H141" t="s">
        <v>48</v>
      </c>
      <c r="I141" t="s">
        <v>49</v>
      </c>
      <c r="J141">
        <v>25</v>
      </c>
      <c r="K141" s="2">
        <v>1200</v>
      </c>
      <c r="L141" s="3">
        <v>0</v>
      </c>
      <c r="M141" s="2">
        <v>30000</v>
      </c>
      <c r="N141" s="2">
        <v>34253.78</v>
      </c>
      <c r="O141" s="3">
        <v>0.87580000000000002</v>
      </c>
      <c r="P141" t="s">
        <v>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Venu V</cp:lastModifiedBy>
  <dcterms:created xsi:type="dcterms:W3CDTF">2026-09-01T16:13:26Z</dcterms:created>
  <dcterms:modified xsi:type="dcterms:W3CDTF">2026-09-30T17:56:41Z</dcterms:modified>
</cp:coreProperties>
</file>